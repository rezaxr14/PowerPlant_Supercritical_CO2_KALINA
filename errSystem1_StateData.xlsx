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zax\Home\mat\PowerPlant_MATLAB\production_ready\"/>
    </mc:Choice>
  </mc:AlternateContent>
  <xr:revisionPtr revIDLastSave="0" documentId="13_ncr:1_{ADBCEA77-29B2-45B8-8481-4C2859E848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 a="1"/>
  <c r="V2" i="1" s="1"/>
  <c r="U2" i="1" a="1"/>
  <c r="U2" i="1" s="1"/>
  <c r="S2" i="1" a="1"/>
  <c r="S2" i="1" s="1"/>
  <c r="T2" i="1" a="1"/>
  <c r="T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<sst xmlns="http://schemas.openxmlformats.org/spreadsheetml/2006/main" count="292" uniqueCount="246">
  <si>
    <t>StreamID</t>
  </si>
  <si>
    <t>Fluid</t>
  </si>
  <si>
    <t>Steam</t>
  </si>
  <si>
    <t>Air</t>
  </si>
  <si>
    <t>Hydrogen</t>
  </si>
  <si>
    <t>Oxygen</t>
  </si>
  <si>
    <t>Biomass</t>
  </si>
  <si>
    <t>MassFlow_kgs</t>
  </si>
  <si>
    <t>Temp_C</t>
  </si>
  <si>
    <t>Pressure_kPa</t>
  </si>
  <si>
    <t>Enthalpy_kJkg</t>
  </si>
  <si>
    <t>Nitrogen</t>
  </si>
  <si>
    <t>Ash</t>
  </si>
  <si>
    <t>Molten Salt (PH1 Out)</t>
  </si>
  <si>
    <t>Molten Salt (LT Tank Out)</t>
  </si>
  <si>
    <t>Molten Salt (Pump 1 Out)</t>
  </si>
  <si>
    <t>Molten Salt (Receiver Out)</t>
  </si>
  <si>
    <t>Molten Salt (Night Recirc)</t>
  </si>
  <si>
    <t>Molten Salt (Day Charging)</t>
  </si>
  <si>
    <t>Molten Salt (HT Tank Out)</t>
  </si>
  <si>
    <t>Molten Salt (Pump 2 Out)</t>
  </si>
  <si>
    <t>Molten Salt (Reheater Out)</t>
  </si>
  <si>
    <t>Molten Salt (SG1 Boiler Out)</t>
  </si>
  <si>
    <t>Steam (PH1 Out / SG1 In)</t>
  </si>
  <si>
    <t>Steam (SG1 First Pass Out)</t>
  </si>
  <si>
    <t>Steam (SG2 Calandria Out)</t>
  </si>
  <si>
    <t>Steam (SG1 Saturated Vapor)</t>
  </si>
  <si>
    <t>Steam (PH2 Out / PH1 In)</t>
  </si>
  <si>
    <t>Steam (SH1 Out / HPT Inlet)</t>
  </si>
  <si>
    <t>Steam (HPT Exhaust / RH In)</t>
  </si>
  <si>
    <t>Steam (RH Out / LPT Inlet)</t>
  </si>
  <si>
    <t>Steam (Pump 3 Out / PH2 In)</t>
  </si>
  <si>
    <t>Steam (IP Drum Liquid Out)</t>
  </si>
  <si>
    <t>Steam (SG3 LP Boiler Out)</t>
  </si>
  <si>
    <t>Steam (IP Drum Vapor Out)</t>
  </si>
  <si>
    <t>Steam (SH2 Out / LPT Admit)</t>
  </si>
  <si>
    <t>Steam (OGU Gasifier Ext)</t>
  </si>
  <si>
    <t>Steam (PH3 Out / Drum In)</t>
  </si>
  <si>
    <t>Steam (Pump 4 Out / PH3 In)</t>
  </si>
  <si>
    <t>Steam (OFWH Saturated Liquid)</t>
  </si>
  <si>
    <t>Steam (LPT Extraction to OFWH)</t>
  </si>
  <si>
    <t>Steam (Bulk LP Cogen Extraction)</t>
  </si>
  <si>
    <t>Steam (Diverted LP Cogen to MED)</t>
  </si>
  <si>
    <t>Steam (Diverted LP Cogen to CC)</t>
  </si>
  <si>
    <t>Steam (MED Condensate Return)</t>
  </si>
  <si>
    <t>Steam (CC MEA Condensate Return)</t>
  </si>
  <si>
    <t>Steam (EGR Water Preheater Out)</t>
  </si>
  <si>
    <t>Steam (Post-Condensate Mixer)</t>
  </si>
  <si>
    <t>Steam (MED Make-up Water In)</t>
  </si>
  <si>
    <t>Steam (Pump 5 Out / Mixer In)</t>
  </si>
  <si>
    <t>Steam (Condenser Hotwell Out)</t>
  </si>
  <si>
    <t>Steam (LPT Condensing Exhaust)</t>
  </si>
  <si>
    <t>Air (Fresh Intake)</t>
  </si>
  <si>
    <t>Air (Compressed Mix)</t>
  </si>
  <si>
    <t>Bio-Syngas (OGU Out)</t>
  </si>
  <si>
    <t>FlueGas (Combustor)</t>
  </si>
  <si>
    <t>FlueGas (GT Exhaust)</t>
  </si>
  <si>
    <t>FlueGas (Post-SH1)</t>
  </si>
  <si>
    <t>FlueGas (Post-SG2)</t>
  </si>
  <si>
    <t>FlueGas (Post-SH2)</t>
  </si>
  <si>
    <t>FlueGas (Post-PH2)</t>
  </si>
  <si>
    <t>FlueGas (Post-SG3)</t>
  </si>
  <si>
    <t>FlueGas (Post-PH3)</t>
  </si>
  <si>
    <t>FlueGas (Recirc EGR)</t>
  </si>
  <si>
    <t>FlueGas (Stack to LiBr)</t>
  </si>
  <si>
    <t>MED Fresh Water Commodity</t>
  </si>
  <si>
    <t>MED Discharge Reject Brine</t>
  </si>
  <si>
    <t>MED Brine to Chloralkali</t>
  </si>
  <si>
    <t>NaCl Solid Feedstock In</t>
  </si>
  <si>
    <t>Chlorine Gas Product (Cl2)</t>
  </si>
  <si>
    <t>Hydrogen Gas (Chloralkali Out)</t>
  </si>
  <si>
    <t>NaOH Dilute Brine to AE</t>
  </si>
  <si>
    <t>Hydrogen Gas (AE Out to HBU)</t>
  </si>
  <si>
    <t>NaOH Concentrated Commodity</t>
  </si>
  <si>
    <t>Oxygen Gas (AE Out to MIX3)</t>
  </si>
  <si>
    <t>ASU Atmospheric Air Intake</t>
  </si>
  <si>
    <t>Oxygen Gas (ASU Out to MIX3)</t>
  </si>
  <si>
    <t>Nitrogen Gas (ASU Out to HBU)</t>
  </si>
  <si>
    <t>Hydrogen Blended Feed to HBU</t>
  </si>
  <si>
    <t>Oxygen Blended Feed to OGU</t>
  </si>
  <si>
    <t>Dry Biomass Feedstock In</t>
  </si>
  <si>
    <t>Hydrogen Gas Commodity Out</t>
  </si>
  <si>
    <t>Internal Ammonia Vapor</t>
  </si>
  <si>
    <t>Ammonia Vapor Feed to USU</t>
  </si>
  <si>
    <t>Solid Residual Ash Waste</t>
  </si>
  <si>
    <t>FlueGas (Diverted to CC)</t>
  </si>
  <si>
    <t>Captured Pure CO2 to USU</t>
  </si>
  <si>
    <t>Aqueous Urea Commodity</t>
  </si>
  <si>
    <t>Ammonia Liquid (Pressurized)</t>
  </si>
  <si>
    <t>CO2-Free Stack Flue Gas Purge</t>
  </si>
  <si>
    <t>Steam (IP Evaporator Recirc Loop)</t>
  </si>
  <si>
    <t>Stream</t>
  </si>
  <si>
    <t>Composition</t>
  </si>
  <si>
    <t>ṁ (kg/s)</t>
  </si>
  <si>
    <t>T (°C)</t>
  </si>
  <si>
    <t>P (kPa)</t>
  </si>
  <si>
    <t>h (kJ/kg)</t>
  </si>
  <si>
    <t>s (kJ/kg-K)</t>
  </si>
  <si>
    <t>ex (kJ/kg)</t>
  </si>
  <si>
    <t>1</t>
  </si>
  <si>
    <t>Molten salt</t>
  </si>
  <si>
    <t>2*</t>
  </si>
  <si>
    <t>3*</t>
  </si>
  <si>
    <t>4*</t>
  </si>
  <si>
    <t>5*</t>
  </si>
  <si>
    <t>6*</t>
  </si>
  <si>
    <t>7</t>
  </si>
  <si>
    <t>8</t>
  </si>
  <si>
    <t>9</t>
  </si>
  <si>
    <t>10</t>
  </si>
  <si>
    <t>11</t>
  </si>
  <si>
    <t>Saturated water</t>
  </si>
  <si>
    <t>12</t>
  </si>
  <si>
    <t>13</t>
  </si>
  <si>
    <t>Two-phase water-steam</t>
  </si>
  <si>
    <t>14</t>
  </si>
  <si>
    <t>Saturated steam</t>
  </si>
  <si>
    <t>15</t>
  </si>
  <si>
    <t>Preheated water</t>
  </si>
  <si>
    <t>16</t>
  </si>
  <si>
    <t>Superheated steam</t>
  </si>
  <si>
    <t>17</t>
  </si>
  <si>
    <t>18</t>
  </si>
  <si>
    <t>19</t>
  </si>
  <si>
    <t>Subcooled water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</si>
  <si>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</si>
  <si>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</si>
  <si>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</si>
  <si>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</si>
  <si>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</si>
  <si>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</si>
  <si>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</si>
  <si>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</si>
  <si>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</si>
  <si>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</si>
  <si>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</si>
  <si>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</si>
  <si>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</si>
  <si>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</si>
  <si>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</si>
  <si>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</si>
  <si>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</si>
  <si>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</si>
  <si>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Make-up water</t>
  </si>
  <si>
    <t>38</t>
  </si>
  <si>
    <t>39</t>
  </si>
  <si>
    <t>40</t>
  </si>
  <si>
    <t>Humid steam</t>
  </si>
  <si>
    <t>41</t>
  </si>
  <si>
    <t>42</t>
  </si>
  <si>
    <t>Compressed air</t>
  </si>
  <si>
    <t>43</t>
  </si>
  <si>
    <t>Bio-syngas</t>
  </si>
  <si>
    <t>44</t>
  </si>
  <si>
    <t>Combustion gas</t>
  </si>
  <si>
    <t>45</t>
  </si>
  <si>
    <t>Flue gas</t>
  </si>
  <si>
    <t>46</t>
  </si>
  <si>
    <t>47</t>
  </si>
  <si>
    <t>48</t>
  </si>
  <si>
    <t>49</t>
  </si>
  <si>
    <t>50</t>
  </si>
  <si>
    <t>51</t>
  </si>
  <si>
    <t>52</t>
  </si>
  <si>
    <t>Recirculated flue gas</t>
  </si>
  <si>
    <t>53</t>
  </si>
  <si>
    <t>Stack gas</t>
  </si>
  <si>
    <t>54</t>
  </si>
  <si>
    <t>Fresh water</t>
  </si>
  <si>
    <t>55</t>
  </si>
  <si>
    <t>Discharge brine</t>
  </si>
  <si>
    <t>56</t>
  </si>
  <si>
    <t>NaCl(aq) brine</t>
  </si>
  <si>
    <t>57</t>
  </si>
  <si>
    <t>NaCl solid</t>
  </si>
  <si>
    <t>58</t>
  </si>
  <si>
    <t>Chlorine gas</t>
  </si>
  <si>
    <t>59</t>
  </si>
  <si>
    <t>60</t>
  </si>
  <si>
    <t>Diluted NaOH(aq)</t>
  </si>
  <si>
    <t>61</t>
  </si>
  <si>
    <t>62</t>
  </si>
  <si>
    <t>Concentrated NaOH(aq)</t>
  </si>
  <si>
    <t>63</t>
  </si>
  <si>
    <t>Oxygen gas</t>
  </si>
  <si>
    <t>64</t>
  </si>
  <si>
    <t>65</t>
  </si>
  <si>
    <t>66</t>
  </si>
  <si>
    <t>67</t>
  </si>
  <si>
    <t>68</t>
  </si>
  <si>
    <t>69</t>
  </si>
  <si>
    <t>70</t>
  </si>
  <si>
    <t>Hydrogen gas</t>
  </si>
  <si>
    <t>71</t>
  </si>
  <si>
    <t>Ammonia vapor</t>
  </si>
  <si>
    <t>72</t>
  </si>
  <si>
    <t>Liquid ammonia</t>
  </si>
  <si>
    <t>73</t>
  </si>
  <si>
    <t>Ammonia liquid</t>
  </si>
  <si>
    <t>74</t>
  </si>
  <si>
    <t>75</t>
  </si>
  <si>
    <t>76</t>
  </si>
  <si>
    <t>CO2-free flue gas</t>
  </si>
  <si>
    <t>77</t>
  </si>
  <si>
    <t>CO2 gas</t>
  </si>
  <si>
    <t>78</t>
  </si>
  <si>
    <t>Urea(aq)</t>
  </si>
  <si>
    <t>79</t>
  </si>
  <si>
    <t>LiBr-water</t>
  </si>
  <si>
    <t>80</t>
  </si>
  <si>
    <t>81</t>
  </si>
  <si>
    <t>Saline water</t>
  </si>
  <si>
    <t>82</t>
  </si>
  <si>
    <t>82.3N2 &amp; 17.7H2</t>
  </si>
  <si>
    <t>83</t>
  </si>
  <si>
    <t>77N2 &amp; 16.8H2 &amp; 6.2NH3</t>
  </si>
  <si>
    <t>84</t>
  </si>
  <si>
    <t>85</t>
  </si>
  <si>
    <t>86</t>
  </si>
  <si>
    <t>49.3N2 &amp; 39.9NH3 &amp; 10.8H2</t>
  </si>
  <si>
    <t>87</t>
  </si>
  <si>
    <t>88</t>
  </si>
  <si>
    <t>89</t>
  </si>
  <si>
    <t>39NH3 &amp; 36.4CO2 &amp; 17CARB &amp; 7H2O &amp; 0.59UREA &amp; 0.01N2</t>
  </si>
  <si>
    <t>90</t>
  </si>
  <si>
    <t>NH3(liq)</t>
  </si>
  <si>
    <t>91</t>
  </si>
  <si>
    <t>CO2(g)</t>
  </si>
  <si>
    <t>92</t>
  </si>
  <si>
    <t>31.7UREA &amp; 30.4CARB &amp; 16.5H2O &amp; 15.2NH3 &amp; 5.7CO2 &amp; 0.5N2</t>
  </si>
  <si>
    <t>93</t>
  </si>
  <si>
    <t>33.8UREA &amp; 32.5CARB &amp; 17.5H2O &amp; 13.9NH3 &amp; 2.2CO2 &amp; 0.1N2</t>
  </si>
  <si>
    <t>94</t>
  </si>
  <si>
    <t>57CO2 &amp; 33.5NH3 &amp; 2.8H2O &amp; 6.7N2</t>
  </si>
  <si>
    <t>95</t>
  </si>
  <si>
    <t>73.1CARB &amp; 24.3H2O &amp; 2CO2 &amp; 0.4NH3 0.2UREA</t>
  </si>
  <si>
    <t>96</t>
  </si>
  <si>
    <t>54.2UREA &amp; 25.6H2O &amp; 15.5CARB &amp; 2.2CO2 &amp; 2.4NH3 &amp; 0.2N2</t>
  </si>
  <si>
    <t>97</t>
  </si>
  <si>
    <t>54.2UREA &amp; 25.6H2O &amp; 11CO2 &amp; 9.2NH3</t>
  </si>
  <si>
    <t>98</t>
  </si>
  <si>
    <t>37CO2 &amp; 31.7H2O &amp; 31NH3 &amp; 0.3UREA</t>
  </si>
  <si>
    <t>M</t>
  </si>
  <si>
    <t>T</t>
  </si>
  <si>
    <t>P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</si>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</sst>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sz val="14"/>
      <name val="Calibri"/>
      <family val="2"/>
    </font>
    <font>
      <sz val="14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4F81BD"/>
        <bgColor rgb="FF4F81BD"/>
      </patternFill>
    </fill>
    <fill>
      <patternFill patternType="solid">
        <fgColor theme="7" tint="0.39997558519241921"/>
        <bgColor indexed="6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4" borderId="0" applyNumberFormat="0" applyBorder="0" applyAlignment="0" applyProtection="0"/>
  </cellStyleXfs>
  <cellXfs count="16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2" fillId="2" borderId="0" xfId="1"/>
    <xf numFmtId="0" fontId="2" fillId="2" borderId="2" xfId="1" applyBorder="1" applyAlignment="1">
      <alignment horizontal="left"/>
    </xf>
    <xf numFmtId="0" fontId="2" fillId="2" borderId="2" xfId="1" applyBorder="1" applyAlignment="1">
      <alignment horizontal="right"/>
    </xf>
    <xf numFmtId="0" fontId="0" fillId="0" borderId="1" xfId="0" applyBorder="1"/>
    <xf numFmtId="0" fontId="4" fillId="3" borderId="3" xfId="0" applyFont="1" applyFill="1" applyBorder="1" applyAlignment="1">
      <alignment horizontal="center" vertical="center"/>
    </xf>
    <xf numFmtId="0" fontId="5" fillId="0" borderId="0" xfId="0" applyFont="1"/>
    <xf numFmtId="0" fontId="6" fillId="2" borderId="0" xfId="1" applyFont="1"/>
    <xf numFmtId="0" fontId="5" fillId="0" borderId="1" xfId="0" applyFont="1" applyBorder="1"/>
    <xf numFmtId="0" fontId="1" fillId="4" borderId="0" xfId="2"/>
    <xf numFmtId="0" fontId="1" fillId="4" borderId="2" xfId="2" applyBorder="1" applyAlignment="1">
      <alignment horizontal="left"/>
    </xf>
    <xf numFmtId="0" fontId="1" fillId="4" borderId="2" xfId="2" applyBorder="1" applyAlignment="1">
      <alignment horizontal="right"/>
    </xf>
    <xf numFmtId="0" fontId="1" fillId="4" borderId="1" xfId="2" applyBorder="1"/>
  </cellXfs>
  <cellStyles count="3">
    <cellStyle name="60% - Accent4" xfId="2" builtinId="44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"/>
  <sheetViews>
    <sheetView tabSelected="1" topLeftCell="A32" zoomScale="70" zoomScaleNormal="70" workbookViewId="0">
      <selection activeCell="A56" sqref="A56:XFD56"/>
    </sheetView>
  </sheetViews>
  <sheetFormatPr defaultRowHeight="18.75" x14ac:dyDescent="0.3"/>
  <cols>
    <col min="1" max="1" width="9.28515625" customWidth="1"/>
    <col min="2" max="2" width="32.7109375" customWidth="1"/>
    <col min="3" max="3" width="15.5703125" customWidth="1"/>
    <col min="4" max="4" width="11.7109375" customWidth="1"/>
    <col min="5" max="5" width="13" customWidth="1"/>
    <col min="6" max="6" width="13.5703125" customWidth="1"/>
    <col min="12" max="17" width="9.42578125" bestFit="1" customWidth="1"/>
    <col min="19" max="19" width="14.5703125" style="9" customWidth="1"/>
    <col min="20" max="20" width="14.85546875" style="9" bestFit="1" customWidth="1"/>
    <col min="21" max="21" width="10.28515625" style="9" bestFit="1" customWidth="1"/>
    <col min="22" max="22" width="15" bestFit="1" customWidth="1"/>
  </cols>
  <sheetData>
    <row r="1" spans="1:22" x14ac:dyDescent="0.25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S1" s="8" t="s">
        <v>242</v>
      </c>
      <c r="T1" s="8" t="s">
        <v>243</v>
      </c>
      <c r="U1" s="8" t="s">
        <v>244</v>
      </c>
      <c r="V1" s="8" t="s">
        <v>245</v>
      </c>
    </row>
    <row r="2" spans="1:22" x14ac:dyDescent="0.3">
      <c r="A2">
        <v>1</v>
      </c>
      <c r="B2" t="s">
        <v>13</v>
      </c>
      <c r="C2">
        <v>200</v>
      </c>
      <c r="D2">
        <v>289.3</v>
      </c>
      <c r="E2">
        <v>101.3</v>
      </c>
      <c r="F2">
        <v>43.81</v>
      </c>
      <c r="J2" s="2" t="s">
        <v>99</v>
      </c>
      <c r="K2" s="2" t="s">
        <v>100</v>
      </c>
      <c r="L2" s="3">
        <v>200</v>
      </c>
      <c r="M2" s="3">
        <v>289.3</v>
      </c>
      <c r="N2" s="3">
        <v>101.3</v>
      </c>
      <c r="O2" s="3">
        <v>43.81</v>
      </c>
      <c r="P2" s="3">
        <v>7.9799999999999996E-2</v>
      </c>
      <c r="Q2" s="3">
        <v>10</v>
      </c>
      <c r="S2" s="9" cm="1">
        <f t="array" ref="S2:S99">((C2:C99-L2:L99)/L2:L99)*100</f>
        <v>0</v>
      </c>
      <c r="T2" s="9" cm="1">
        <f t="array" ref="T2:T99">((D2:D99-M2:M99)/M2:M99 )*100</f>
        <v>0</v>
      </c>
      <c r="U2" s="9" cm="1">
        <f t="array" ref="U2:U99">((E2:E99-N2:N99)/N2:N99)*100</f>
        <v>0</v>
      </c>
      <c r="V2" cm="1">
        <f t="array" ref="V2:V99">((F2:F99-O2:O99)/O2:O99)*100</f>
        <v>0</v>
      </c>
    </row>
    <row r="3" spans="1:22" x14ac:dyDescent="0.3">
      <c r="A3">
        <v>2</v>
      </c>
      <c r="B3" t="s">
        <v>14</v>
      </c>
      <c r="C3">
        <v>899.3</v>
      </c>
      <c r="D3">
        <v>289.2</v>
      </c>
      <c r="E3">
        <v>101.3</v>
      </c>
      <c r="F3">
        <v>43.71</v>
      </c>
      <c r="J3" s="2" t="s">
        <v>101</v>
      </c>
      <c r="K3" s="2" t="s">
        <v>100</v>
      </c>
      <c r="L3" s="3">
        <v>899.3</v>
      </c>
      <c r="M3" s="3">
        <v>289.2</v>
      </c>
      <c r="N3" s="3">
        <v>101.3</v>
      </c>
      <c r="O3" s="3">
        <v>43.71</v>
      </c>
      <c r="P3" s="3">
        <v>7.9699999999999993E-2</v>
      </c>
      <c r="Q3" s="3">
        <v>10</v>
      </c>
      <c r="S3" s="9">
        <v>0</v>
      </c>
      <c r="T3" s="9">
        <v>0</v>
      </c>
      <c r="U3" s="9">
        <v>0</v>
      </c>
      <c r="V3">
        <v>0</v>
      </c>
    </row>
    <row r="4" spans="1:22" x14ac:dyDescent="0.3">
      <c r="A4">
        <v>3</v>
      </c>
      <c r="B4" t="s">
        <v>15</v>
      </c>
      <c r="C4">
        <v>899.3</v>
      </c>
      <c r="D4">
        <v>289.3</v>
      </c>
      <c r="E4">
        <v>887.2</v>
      </c>
      <c r="F4">
        <v>43.81</v>
      </c>
      <c r="J4" s="2" t="s">
        <v>102</v>
      </c>
      <c r="K4" s="2" t="s">
        <v>100</v>
      </c>
      <c r="L4" s="3">
        <v>899.3</v>
      </c>
      <c r="M4" s="3">
        <v>289.3</v>
      </c>
      <c r="N4" s="3">
        <v>887.2</v>
      </c>
      <c r="O4" s="3">
        <v>44.26</v>
      </c>
      <c r="P4" s="3">
        <v>7.9899999999999999E-2</v>
      </c>
      <c r="Q4" s="3">
        <v>10.5</v>
      </c>
      <c r="S4" s="9">
        <v>0</v>
      </c>
      <c r="T4" s="9">
        <v>0</v>
      </c>
      <c r="U4" s="9">
        <v>0</v>
      </c>
      <c r="V4">
        <v>-1.0167193854496064</v>
      </c>
    </row>
    <row r="5" spans="1:22" s="7" customFormat="1" ht="18" customHeight="1" x14ac:dyDescent="0.25">
      <c r="A5">
        <v>4</v>
      </c>
      <c r="B5" t="s">
        <v>16</v>
      </c>
      <c r="C5">
        <v>899.3</v>
      </c>
      <c r="D5">
        <v>353.7</v>
      </c>
      <c r="E5">
        <v>561.1</v>
      </c>
      <c r="F5">
        <v>141</v>
      </c>
      <c r="J5" s="7" t="s">
        <v>103</v>
      </c>
      <c r="K5" s="7" t="s">
        <v>100</v>
      </c>
      <c r="L5" s="7">
        <v>899.3</v>
      </c>
      <c r="M5" s="7">
        <v>353.7</v>
      </c>
      <c r="N5" s="7">
        <v>561.1</v>
      </c>
      <c r="O5" s="7">
        <v>141</v>
      </c>
      <c r="P5" s="7">
        <v>0.2427</v>
      </c>
      <c r="Q5" s="7">
        <v>58.6</v>
      </c>
      <c r="S5" s="7">
        <v>0</v>
      </c>
      <c r="T5" s="7">
        <v>0</v>
      </c>
      <c r="U5" s="7">
        <v>0</v>
      </c>
      <c r="V5" s="7">
        <v>0</v>
      </c>
    </row>
    <row r="6" spans="1:22" s="7" customFormat="1" ht="15" x14ac:dyDescent="0.25">
      <c r="A6">
        <v>5</v>
      </c>
      <c r="B6" t="s">
        <v>17</v>
      </c>
      <c r="C6">
        <v>339.38443599163026</v>
      </c>
      <c r="D6">
        <v>280</v>
      </c>
      <c r="E6">
        <v>561.1</v>
      </c>
      <c r="F6">
        <v>30.19</v>
      </c>
      <c r="J6" s="7" t="s">
        <v>104</v>
      </c>
      <c r="K6" s="7" t="s">
        <v>100</v>
      </c>
      <c r="L6" s="7">
        <v>339.5</v>
      </c>
      <c r="M6" s="7">
        <v>280</v>
      </c>
      <c r="N6" s="7">
        <v>561.1</v>
      </c>
      <c r="O6" s="7">
        <v>30.19</v>
      </c>
      <c r="P6" s="7">
        <v>5.4699999999999999E-2</v>
      </c>
      <c r="Q6" s="7">
        <v>53.2</v>
      </c>
      <c r="S6" s="7">
        <v>-3.4039472273857112E-2</v>
      </c>
      <c r="T6" s="7">
        <v>0</v>
      </c>
      <c r="U6" s="7">
        <v>0</v>
      </c>
      <c r="V6" s="7">
        <v>0</v>
      </c>
    </row>
    <row r="7" spans="1:22" s="15" customFormat="1" ht="15" x14ac:dyDescent="0.25">
      <c r="A7">
        <v>6</v>
      </c>
      <c r="B7" t="s">
        <v>18</v>
      </c>
      <c r="C7">
        <v>294.29978779362574</v>
      </c>
      <c r="D7">
        <v>487.84717908640039</v>
      </c>
      <c r="E7">
        <v>561.1</v>
      </c>
      <c r="F7">
        <v>348.10932791428462</v>
      </c>
      <c r="J7" s="15" t="s">
        <v>105</v>
      </c>
      <c r="K7" s="15" t="s">
        <v>100</v>
      </c>
      <c r="L7" s="15">
        <v>294.39999999999998</v>
      </c>
      <c r="M7" s="15">
        <v>503.3</v>
      </c>
      <c r="N7" s="15">
        <v>561.1</v>
      </c>
      <c r="O7" s="15">
        <v>368.5</v>
      </c>
      <c r="P7" s="15">
        <v>0.56840000000000002</v>
      </c>
      <c r="Q7" s="15">
        <v>181.1</v>
      </c>
      <c r="S7" s="15">
        <v>-3.4039472273857903E-2</v>
      </c>
      <c r="T7" s="15">
        <v>-3.0703002013907459</v>
      </c>
      <c r="U7" s="15">
        <v>0</v>
      </c>
      <c r="V7" s="15">
        <v>-5.5334252607097367</v>
      </c>
    </row>
    <row r="8" spans="1:22" x14ac:dyDescent="0.3">
      <c r="A8">
        <v>7</v>
      </c>
      <c r="B8" t="s">
        <v>19</v>
      </c>
      <c r="C8">
        <v>200</v>
      </c>
      <c r="D8">
        <v>569.5</v>
      </c>
      <c r="E8">
        <v>101.3</v>
      </c>
      <c r="F8">
        <v>470.3</v>
      </c>
      <c r="J8" s="2" t="s">
        <v>106</v>
      </c>
      <c r="K8" s="2" t="s">
        <v>100</v>
      </c>
      <c r="L8" s="3">
        <v>200</v>
      </c>
      <c r="M8" s="3">
        <v>569.5</v>
      </c>
      <c r="N8" s="3">
        <v>101.3</v>
      </c>
      <c r="O8" s="3">
        <v>470.3</v>
      </c>
      <c r="P8" s="3">
        <v>0.6946</v>
      </c>
      <c r="Q8" s="3">
        <v>253.2</v>
      </c>
      <c r="S8" s="9">
        <v>0</v>
      </c>
      <c r="T8" s="9">
        <v>0</v>
      </c>
      <c r="U8" s="9">
        <v>0</v>
      </c>
      <c r="V8">
        <v>0</v>
      </c>
    </row>
    <row r="9" spans="1:22" x14ac:dyDescent="0.3">
      <c r="A9">
        <v>8</v>
      </c>
      <c r="B9" t="s">
        <v>20</v>
      </c>
      <c r="C9">
        <v>200</v>
      </c>
      <c r="D9">
        <v>569.62931286588571</v>
      </c>
      <c r="E9">
        <v>405.3</v>
      </c>
      <c r="F9">
        <v>470.49885271521401</v>
      </c>
      <c r="J9" s="2" t="s">
        <v>107</v>
      </c>
      <c r="K9" s="2" t="s">
        <v>100</v>
      </c>
      <c r="L9" s="3">
        <v>200</v>
      </c>
      <c r="M9" s="3">
        <v>569.5</v>
      </c>
      <c r="N9" s="3">
        <v>405.3</v>
      </c>
      <c r="O9" s="3">
        <v>470.5</v>
      </c>
      <c r="P9" s="3">
        <v>0.69450000000000001</v>
      </c>
      <c r="Q9" s="3">
        <v>253.5</v>
      </c>
      <c r="S9" s="9">
        <v>0</v>
      </c>
      <c r="T9" s="9">
        <v>2.2706385581336006E-2</v>
      </c>
      <c r="U9" s="9">
        <v>0</v>
      </c>
      <c r="V9">
        <v>-2.4384373772292408E-4</v>
      </c>
    </row>
    <row r="10" spans="1:22" x14ac:dyDescent="0.3">
      <c r="A10">
        <v>9</v>
      </c>
      <c r="B10" t="s">
        <v>21</v>
      </c>
      <c r="C10">
        <v>200</v>
      </c>
      <c r="D10">
        <v>487.88154312211395</v>
      </c>
      <c r="E10">
        <v>304</v>
      </c>
      <c r="F10">
        <v>348.16020819901541</v>
      </c>
      <c r="J10" s="2" t="s">
        <v>108</v>
      </c>
      <c r="K10" s="2" t="s">
        <v>100</v>
      </c>
      <c r="L10" s="3">
        <v>200</v>
      </c>
      <c r="M10" s="3">
        <v>490.4</v>
      </c>
      <c r="N10" s="3">
        <v>304</v>
      </c>
      <c r="O10" s="3">
        <v>348.5</v>
      </c>
      <c r="P10" s="3">
        <v>0.54259999999999997</v>
      </c>
      <c r="Q10" s="3">
        <v>176.8</v>
      </c>
      <c r="S10" s="9">
        <v>0</v>
      </c>
      <c r="T10" s="9">
        <v>-0.51355156563744375</v>
      </c>
      <c r="U10" s="9">
        <v>0</v>
      </c>
      <c r="V10">
        <v>-9.7501234141918303E-2</v>
      </c>
    </row>
    <row r="11" spans="1:22" x14ac:dyDescent="0.3">
      <c r="A11">
        <v>10</v>
      </c>
      <c r="B11" t="s">
        <v>22</v>
      </c>
      <c r="C11">
        <v>200</v>
      </c>
      <c r="D11">
        <v>324.96616300415371</v>
      </c>
      <c r="E11">
        <v>202.7</v>
      </c>
      <c r="F11">
        <v>104.59346086410156</v>
      </c>
      <c r="J11" s="2" t="s">
        <v>109</v>
      </c>
      <c r="K11" s="2" t="s">
        <v>100</v>
      </c>
      <c r="L11" s="3">
        <v>200</v>
      </c>
      <c r="M11" s="3">
        <v>330</v>
      </c>
      <c r="N11" s="3">
        <v>202.7</v>
      </c>
      <c r="O11" s="3">
        <v>105.1</v>
      </c>
      <c r="P11" s="3">
        <v>0.18459999999999999</v>
      </c>
      <c r="Q11" s="3">
        <v>40.04</v>
      </c>
      <c r="S11" s="9">
        <v>0</v>
      </c>
      <c r="T11" s="9">
        <v>-1.5254051502564503</v>
      </c>
      <c r="U11" s="9">
        <v>0</v>
      </c>
      <c r="V11">
        <v>-0.48195921588814056</v>
      </c>
    </row>
    <row r="12" spans="1:22" x14ac:dyDescent="0.3">
      <c r="A12">
        <v>11</v>
      </c>
      <c r="B12" t="s">
        <v>23</v>
      </c>
      <c r="C12">
        <v>75.864167444491372</v>
      </c>
      <c r="D12">
        <v>306.72952484091707</v>
      </c>
      <c r="E12">
        <v>10551</v>
      </c>
      <c r="F12">
        <v>1381.2054549852708</v>
      </c>
      <c r="J12" s="2" t="s">
        <v>110</v>
      </c>
      <c r="K12" s="2" t="s">
        <v>111</v>
      </c>
      <c r="L12" s="3">
        <v>75.89</v>
      </c>
      <c r="M12" s="3">
        <v>315</v>
      </c>
      <c r="N12" s="3">
        <v>10551</v>
      </c>
      <c r="O12" s="3">
        <v>1431</v>
      </c>
      <c r="P12" s="3">
        <v>3.3980000000000001</v>
      </c>
      <c r="Q12" s="3">
        <v>422.3</v>
      </c>
      <c r="S12" s="9">
        <v>-3.4039472273855224E-2</v>
      </c>
      <c r="T12" s="9">
        <v>-2.6255476695501381</v>
      </c>
      <c r="U12" s="9">
        <v>0</v>
      </c>
      <c r="V12">
        <v>-3.4797026565149713</v>
      </c>
    </row>
    <row r="13" spans="1:22" x14ac:dyDescent="0.3">
      <c r="A13">
        <v>12</v>
      </c>
      <c r="B13" t="s">
        <v>24</v>
      </c>
      <c r="C13">
        <v>379.32083722245687</v>
      </c>
      <c r="D13">
        <v>314.96616300415371</v>
      </c>
      <c r="E13">
        <v>10551</v>
      </c>
      <c r="F13">
        <v>1509.6236537110703</v>
      </c>
      <c r="J13" s="2" t="s">
        <v>112</v>
      </c>
      <c r="K13" s="2" t="s">
        <v>111</v>
      </c>
      <c r="L13" s="3">
        <v>379.5</v>
      </c>
      <c r="M13" s="3">
        <v>315</v>
      </c>
      <c r="N13" s="3">
        <v>10551</v>
      </c>
      <c r="O13" s="3">
        <v>1431</v>
      </c>
      <c r="P13" s="3">
        <v>3.3980000000000001</v>
      </c>
      <c r="Q13" s="3">
        <v>422.3</v>
      </c>
      <c r="S13" s="9">
        <v>-4.7210218061429929E-2</v>
      </c>
      <c r="T13" s="9">
        <v>-1.0741903443265493E-2</v>
      </c>
      <c r="U13" s="9">
        <v>0</v>
      </c>
      <c r="V13">
        <v>5.4943154235548812</v>
      </c>
    </row>
    <row r="14" spans="1:22" x14ac:dyDescent="0.3">
      <c r="A14">
        <v>13</v>
      </c>
      <c r="B14" t="s">
        <v>25</v>
      </c>
      <c r="C14">
        <v>379.32083722245687</v>
      </c>
      <c r="D14">
        <v>314.96616300415371</v>
      </c>
      <c r="E14">
        <v>10551</v>
      </c>
      <c r="F14">
        <v>1641.6007367449356</v>
      </c>
      <c r="J14" s="2" t="s">
        <v>113</v>
      </c>
      <c r="K14" s="2" t="s">
        <v>114</v>
      </c>
      <c r="L14" s="3">
        <v>379.5</v>
      </c>
      <c r="M14" s="3">
        <v>315</v>
      </c>
      <c r="N14" s="3">
        <v>10551</v>
      </c>
      <c r="O14" s="3">
        <v>1559</v>
      </c>
      <c r="P14" s="3">
        <v>3.6160000000000001</v>
      </c>
      <c r="Q14" s="3">
        <v>485.6</v>
      </c>
      <c r="S14" s="9">
        <v>-4.7210218061429929E-2</v>
      </c>
      <c r="T14" s="9">
        <v>-1.0741903443265493E-2</v>
      </c>
      <c r="U14" s="9">
        <v>0</v>
      </c>
      <c r="V14">
        <v>5.298315378122874</v>
      </c>
    </row>
    <row r="15" spans="1:22" x14ac:dyDescent="0.3">
      <c r="A15">
        <v>14</v>
      </c>
      <c r="B15" t="s">
        <v>26</v>
      </c>
      <c r="C15">
        <v>75.864167444491372</v>
      </c>
      <c r="D15">
        <v>314.96616300415371</v>
      </c>
      <c r="E15">
        <v>10551</v>
      </c>
      <c r="F15">
        <v>2715.1691798098632</v>
      </c>
      <c r="J15" s="2" t="s">
        <v>115</v>
      </c>
      <c r="K15" s="2" t="s">
        <v>116</v>
      </c>
      <c r="L15" s="3">
        <v>75.89</v>
      </c>
      <c r="M15" s="3">
        <v>315</v>
      </c>
      <c r="N15" s="3">
        <v>10551</v>
      </c>
      <c r="O15" s="3">
        <v>2714</v>
      </c>
      <c r="P15" s="3">
        <v>5.58</v>
      </c>
      <c r="Q15" s="3">
        <v>1055</v>
      </c>
      <c r="S15" s="9">
        <v>-3.4039472273855224E-2</v>
      </c>
      <c r="T15" s="9">
        <v>-1.0741903443265493E-2</v>
      </c>
      <c r="U15" s="9">
        <v>0</v>
      </c>
      <c r="V15">
        <v>4.3079580319203413E-2</v>
      </c>
    </row>
    <row r="16" spans="1:22" x14ac:dyDescent="0.3">
      <c r="A16">
        <v>15</v>
      </c>
      <c r="B16" t="s">
        <v>27</v>
      </c>
      <c r="C16">
        <v>75.864167444491372</v>
      </c>
      <c r="D16">
        <v>286.79187957645706</v>
      </c>
      <c r="E16">
        <v>10551</v>
      </c>
      <c r="F16">
        <v>1270.1954350782578</v>
      </c>
      <c r="J16" s="2" t="s">
        <v>117</v>
      </c>
      <c r="K16" s="2" t="s">
        <v>118</v>
      </c>
      <c r="L16" s="3">
        <v>75.89</v>
      </c>
      <c r="M16" s="3">
        <v>286.8</v>
      </c>
      <c r="N16" s="3">
        <v>10551</v>
      </c>
      <c r="O16" s="3">
        <v>1269</v>
      </c>
      <c r="P16" s="3">
        <v>3.117</v>
      </c>
      <c r="Q16" s="3">
        <v>344.7</v>
      </c>
      <c r="S16" s="9">
        <v>-3.4039472273855224E-2</v>
      </c>
      <c r="T16" s="9">
        <v>-2.8313889619763508E-3</v>
      </c>
      <c r="U16" s="9">
        <v>0</v>
      </c>
      <c r="V16">
        <v>9.4202921848525425E-2</v>
      </c>
    </row>
    <row r="17" spans="1:22" x14ac:dyDescent="0.3">
      <c r="A17">
        <v>16</v>
      </c>
      <c r="B17" t="s">
        <v>28</v>
      </c>
      <c r="C17">
        <v>75.864167444491372</v>
      </c>
      <c r="D17">
        <v>500.00184395420922</v>
      </c>
      <c r="E17">
        <v>10551</v>
      </c>
      <c r="F17">
        <v>3368.2246361198581</v>
      </c>
      <c r="J17" s="2" t="s">
        <v>119</v>
      </c>
      <c r="K17" s="2" t="s">
        <v>120</v>
      </c>
      <c r="L17" s="3">
        <v>75.89</v>
      </c>
      <c r="M17" s="3">
        <v>500</v>
      </c>
      <c r="N17" s="3">
        <v>10551</v>
      </c>
      <c r="O17" s="3">
        <v>3367</v>
      </c>
      <c r="P17" s="3">
        <v>6.5650000000000004</v>
      </c>
      <c r="Q17" s="3">
        <v>1414</v>
      </c>
      <c r="S17" s="9">
        <v>-3.4039472273855224E-2</v>
      </c>
      <c r="T17" s="9">
        <v>3.6879084184420207E-4</v>
      </c>
      <c r="U17" s="9">
        <v>0</v>
      </c>
      <c r="V17">
        <v>3.6371729131515665E-2</v>
      </c>
    </row>
    <row r="18" spans="1:22" x14ac:dyDescent="0.3">
      <c r="A18">
        <v>17</v>
      </c>
      <c r="B18" t="s">
        <v>29</v>
      </c>
      <c r="C18">
        <v>75.864167444491372</v>
      </c>
      <c r="D18">
        <v>165.11242415750496</v>
      </c>
      <c r="E18">
        <v>683.9</v>
      </c>
      <c r="F18">
        <v>2764.5361676638631</v>
      </c>
      <c r="J18" s="2" t="s">
        <v>121</v>
      </c>
      <c r="K18" s="2" t="s">
        <v>2</v>
      </c>
      <c r="L18" s="3">
        <v>75.89</v>
      </c>
      <c r="M18" s="3">
        <v>164.6</v>
      </c>
      <c r="N18" s="3">
        <v>683.9</v>
      </c>
      <c r="O18" s="3">
        <v>2764</v>
      </c>
      <c r="P18" s="3">
        <v>6.7190000000000003</v>
      </c>
      <c r="Q18" s="3">
        <v>765</v>
      </c>
      <c r="S18" s="9">
        <v>-3.4039472273855224E-2</v>
      </c>
      <c r="T18" s="9">
        <v>0.31131479799815714</v>
      </c>
      <c r="U18" s="9">
        <v>0</v>
      </c>
      <c r="V18">
        <v>1.9398251225149248E-2</v>
      </c>
    </row>
    <row r="19" spans="1:22" x14ac:dyDescent="0.3">
      <c r="A19">
        <v>18</v>
      </c>
      <c r="B19" t="s">
        <v>30</v>
      </c>
      <c r="C19">
        <v>75.864167444491372</v>
      </c>
      <c r="D19">
        <v>312.82029027529416</v>
      </c>
      <c r="E19">
        <v>683.9</v>
      </c>
      <c r="F19">
        <v>3086.7249423745593</v>
      </c>
      <c r="J19" s="2" t="s">
        <v>122</v>
      </c>
      <c r="K19" s="2" t="s">
        <v>120</v>
      </c>
      <c r="L19" s="3">
        <v>75.89</v>
      </c>
      <c r="M19" s="3">
        <v>312.2</v>
      </c>
      <c r="N19" s="3">
        <v>683.9</v>
      </c>
      <c r="O19" s="3">
        <v>3084</v>
      </c>
      <c r="P19" s="3">
        <v>7.3520000000000003</v>
      </c>
      <c r="Q19" s="3">
        <v>896.9</v>
      </c>
      <c r="S19" s="9">
        <v>-3.4039472273855224E-2</v>
      </c>
      <c r="T19" s="9">
        <v>0.19868362437353199</v>
      </c>
      <c r="U19" s="9">
        <v>0</v>
      </c>
      <c r="V19">
        <v>8.8357405141352305E-2</v>
      </c>
    </row>
    <row r="20" spans="1:22" x14ac:dyDescent="0.3">
      <c r="A20">
        <v>19</v>
      </c>
      <c r="B20" t="s">
        <v>31</v>
      </c>
      <c r="C20">
        <v>75.864167444491372</v>
      </c>
      <c r="D20">
        <v>214.89376563708817</v>
      </c>
      <c r="E20">
        <v>10551</v>
      </c>
      <c r="F20">
        <v>922.88617360969329</v>
      </c>
      <c r="J20" s="2" t="s">
        <v>123</v>
      </c>
      <c r="K20" s="2" t="s">
        <v>124</v>
      </c>
      <c r="L20" s="3">
        <v>75.89</v>
      </c>
      <c r="M20" s="3">
        <v>214.9</v>
      </c>
      <c r="N20" s="3">
        <v>10551</v>
      </c>
      <c r="O20" s="3">
        <v>922.9</v>
      </c>
      <c r="P20" s="3">
        <v>2.456</v>
      </c>
      <c r="Q20" s="3">
        <v>195.3</v>
      </c>
      <c r="S20" s="9">
        <v>-3.4039472273855224E-2</v>
      </c>
      <c r="T20" s="9">
        <v>-2.9010530069056343E-3</v>
      </c>
      <c r="U20" s="9">
        <v>0</v>
      </c>
      <c r="V20">
        <v>-1.4981460945595378E-3</v>
      </c>
    </row>
    <row r="21" spans="1:22" s="7" customFormat="1" x14ac:dyDescent="0.3">
      <c r="A21">
        <v>20</v>
      </c>
      <c r="B21" t="s">
        <v>32</v>
      </c>
      <c r="C21">
        <v>75.874164040544159</v>
      </c>
      <c r="D21">
        <v>213.06359095826963</v>
      </c>
      <c r="E21">
        <v>2027</v>
      </c>
      <c r="F21">
        <v>911.73001548503873</v>
      </c>
      <c r="J21" s="7" t="s">
        <v>125</v>
      </c>
      <c r="K21" s="7" t="s">
        <v>111</v>
      </c>
      <c r="L21" s="7">
        <v>75.89</v>
      </c>
      <c r="M21" s="7">
        <v>213.1</v>
      </c>
      <c r="N21" s="7">
        <v>2027</v>
      </c>
      <c r="O21" s="7">
        <v>911.7</v>
      </c>
      <c r="P21" s="7">
        <v>2.4529999999999998</v>
      </c>
      <c r="Q21" s="7">
        <v>184.8</v>
      </c>
      <c r="S21" s="11">
        <v>-2.0866990981475729E-2</v>
      </c>
      <c r="T21" s="11">
        <v>-1.7085425495244368E-2</v>
      </c>
      <c r="U21" s="11">
        <v>0</v>
      </c>
      <c r="V21" s="7">
        <v>3.292254583600844E-3</v>
      </c>
    </row>
    <row r="22" spans="1:22" x14ac:dyDescent="0.3">
      <c r="A22">
        <v>21</v>
      </c>
      <c r="B22" t="s">
        <v>90</v>
      </c>
      <c r="C22">
        <v>834.50584188940513</v>
      </c>
      <c r="D22">
        <v>213.06359095826963</v>
      </c>
      <c r="E22">
        <v>2027</v>
      </c>
      <c r="F22">
        <v>911.73001548503873</v>
      </c>
      <c r="J22" s="2" t="s">
        <v>126</v>
      </c>
      <c r="K22" s="2" t="s">
        <v>111</v>
      </c>
      <c r="L22" s="3">
        <v>834.8</v>
      </c>
      <c r="M22" s="3">
        <v>213.1</v>
      </c>
      <c r="N22" s="3">
        <v>2027</v>
      </c>
      <c r="O22" s="3">
        <v>911.7</v>
      </c>
      <c r="P22" s="3">
        <v>2.4529999999999998</v>
      </c>
      <c r="Q22" s="3">
        <v>184.8</v>
      </c>
      <c r="S22" s="9">
        <v>-3.5236956228416591E-2</v>
      </c>
      <c r="T22" s="9">
        <v>-1.7085425495244368E-2</v>
      </c>
      <c r="U22" s="9">
        <v>0</v>
      </c>
      <c r="V22">
        <v>3.292254583600844E-3</v>
      </c>
    </row>
    <row r="23" spans="1:22" x14ac:dyDescent="0.3">
      <c r="A23">
        <v>22</v>
      </c>
      <c r="B23" t="s">
        <v>33</v>
      </c>
      <c r="C23">
        <v>758.74164040544156</v>
      </c>
      <c r="D23">
        <v>213.06359095826963</v>
      </c>
      <c r="E23">
        <v>2027</v>
      </c>
      <c r="F23">
        <v>1100.4231293583675</v>
      </c>
      <c r="J23" s="2" t="s">
        <v>127</v>
      </c>
      <c r="K23" s="2" t="s">
        <v>114</v>
      </c>
      <c r="L23" s="3">
        <v>758.9</v>
      </c>
      <c r="M23" s="3">
        <v>213.1</v>
      </c>
      <c r="N23" s="3">
        <v>2027</v>
      </c>
      <c r="O23" s="3">
        <v>1100</v>
      </c>
      <c r="P23" s="3">
        <v>2.8410000000000002</v>
      </c>
      <c r="Q23" s="3">
        <v>257.8</v>
      </c>
      <c r="S23" s="9">
        <v>-2.0866990981475729E-2</v>
      </c>
      <c r="T23" s="9">
        <v>-1.7085425495244368E-2</v>
      </c>
      <c r="U23" s="9">
        <v>0</v>
      </c>
      <c r="V23">
        <v>3.8466305306139308E-2</v>
      </c>
    </row>
    <row r="24" spans="1:22" x14ac:dyDescent="0.3">
      <c r="A24">
        <v>23</v>
      </c>
      <c r="B24" t="s">
        <v>34</v>
      </c>
      <c r="C24">
        <v>75.874164040544159</v>
      </c>
      <c r="D24">
        <v>213.06359095826963</v>
      </c>
      <c r="E24">
        <v>2027</v>
      </c>
      <c r="F24">
        <v>2798.6611542183273</v>
      </c>
      <c r="J24" s="2" t="s">
        <v>128</v>
      </c>
      <c r="K24" s="2" t="s">
        <v>116</v>
      </c>
      <c r="L24" s="3">
        <v>75.89</v>
      </c>
      <c r="M24" s="3">
        <v>213.1</v>
      </c>
      <c r="N24" s="3">
        <v>2027</v>
      </c>
      <c r="O24" s="3">
        <v>2799</v>
      </c>
      <c r="P24" s="3">
        <v>6.335</v>
      </c>
      <c r="Q24" s="3">
        <v>914.8</v>
      </c>
      <c r="S24" s="9">
        <v>-2.0866990981475729E-2</v>
      </c>
      <c r="T24" s="9">
        <v>-1.7085425495244368E-2</v>
      </c>
      <c r="U24" s="9">
        <v>0</v>
      </c>
      <c r="V24">
        <v>-1.2105958616388598E-2</v>
      </c>
    </row>
    <row r="25" spans="1:22" x14ac:dyDescent="0.3">
      <c r="A25">
        <v>24</v>
      </c>
      <c r="B25" t="s">
        <v>35</v>
      </c>
      <c r="C25">
        <v>75.874164040544159</v>
      </c>
      <c r="D25">
        <v>322.19761284709534</v>
      </c>
      <c r="E25">
        <v>2027</v>
      </c>
      <c r="F25">
        <v>3074.4840205435967</v>
      </c>
      <c r="J25" s="2" t="s">
        <v>129</v>
      </c>
      <c r="K25" s="2" t="s">
        <v>120</v>
      </c>
      <c r="L25" s="3">
        <v>75.89</v>
      </c>
      <c r="M25" s="3">
        <v>322.2</v>
      </c>
      <c r="N25" s="3">
        <v>2027</v>
      </c>
      <c r="O25" s="3">
        <v>3073</v>
      </c>
      <c r="P25" s="3">
        <v>6.8460000000000001</v>
      </c>
      <c r="Q25" s="3">
        <v>1037</v>
      </c>
      <c r="S25" s="9">
        <v>-2.0866990981475729E-2</v>
      </c>
      <c r="T25" s="9">
        <v>-7.408916525903081E-4</v>
      </c>
      <c r="U25" s="9">
        <v>0</v>
      </c>
      <c r="V25">
        <v>4.8292240273240181E-2</v>
      </c>
    </row>
    <row r="26" spans="1:22" x14ac:dyDescent="0.3">
      <c r="A26">
        <v>25</v>
      </c>
      <c r="B26" t="s">
        <v>36</v>
      </c>
      <c r="C26">
        <v>7.5889647999999994</v>
      </c>
      <c r="D26">
        <v>322.19761284709534</v>
      </c>
      <c r="E26">
        <v>2027</v>
      </c>
      <c r="F26">
        <v>3074.4840205435967</v>
      </c>
      <c r="J26" s="2" t="s">
        <v>130</v>
      </c>
      <c r="K26" s="2" t="s">
        <v>120</v>
      </c>
      <c r="L26" s="3">
        <v>7.5890000000000004</v>
      </c>
      <c r="M26" s="3">
        <v>322.2</v>
      </c>
      <c r="N26" s="3">
        <v>2027</v>
      </c>
      <c r="O26" s="3">
        <v>3073</v>
      </c>
      <c r="P26" s="3">
        <v>6.8460000000000001</v>
      </c>
      <c r="Q26" s="3">
        <v>1037</v>
      </c>
      <c r="S26" s="9">
        <v>-4.638292265253946E-4</v>
      </c>
      <c r="T26" s="9">
        <v>-7.408916525903081E-4</v>
      </c>
      <c r="U26" s="9">
        <v>0</v>
      </c>
      <c r="V26">
        <v>4.8292240273240181E-2</v>
      </c>
    </row>
    <row r="27" spans="1:22" s="7" customFormat="1" ht="15" x14ac:dyDescent="0.25">
      <c r="A27">
        <v>26</v>
      </c>
      <c r="B27" t="s">
        <v>37</v>
      </c>
      <c r="C27">
        <v>68.276751040436963</v>
      </c>
      <c r="D27">
        <v>213.1</v>
      </c>
      <c r="E27">
        <v>2027</v>
      </c>
      <c r="F27">
        <v>911.5347018842599</v>
      </c>
      <c r="J27" s="7" t="s">
        <v>131</v>
      </c>
      <c r="K27" s="7" t="s">
        <v>111</v>
      </c>
      <c r="L27" s="7">
        <v>68.3</v>
      </c>
      <c r="M27" s="7">
        <v>213.1</v>
      </c>
      <c r="N27" s="7">
        <v>2027</v>
      </c>
      <c r="O27" s="7">
        <v>911.7</v>
      </c>
      <c r="P27" s="7">
        <v>2.4529999999999998</v>
      </c>
      <c r="Q27" s="7">
        <v>184.8</v>
      </c>
      <c r="S27" s="7">
        <v>-3.4039472273841992E-2</v>
      </c>
      <c r="T27" s="7">
        <v>0</v>
      </c>
      <c r="U27" s="7">
        <v>0</v>
      </c>
      <c r="V27" s="7">
        <v>-1.813075745751264E-2</v>
      </c>
    </row>
    <row r="28" spans="1:22" x14ac:dyDescent="0.3">
      <c r="A28">
        <v>27</v>
      </c>
      <c r="B28" t="s">
        <v>38</v>
      </c>
      <c r="C28">
        <v>151.74832808108832</v>
      </c>
      <c r="D28">
        <v>100.15358590560538</v>
      </c>
      <c r="E28">
        <v>2027</v>
      </c>
      <c r="F28">
        <v>421.19413950647385</v>
      </c>
      <c r="J28" s="2" t="s">
        <v>132</v>
      </c>
      <c r="K28" s="2" t="s">
        <v>124</v>
      </c>
      <c r="L28" s="3">
        <v>151.80000000000001</v>
      </c>
      <c r="M28" s="3">
        <v>100.2</v>
      </c>
      <c r="N28" s="3">
        <v>2027</v>
      </c>
      <c r="O28" s="3">
        <v>421.3</v>
      </c>
      <c r="P28" s="3">
        <v>1.3069999999999999</v>
      </c>
      <c r="Q28" s="3">
        <v>36.03</v>
      </c>
      <c r="S28" s="9">
        <v>-3.4039472273843276E-2</v>
      </c>
      <c r="T28" s="9">
        <v>-4.6321451491637244E-2</v>
      </c>
      <c r="U28" s="9">
        <v>0</v>
      </c>
      <c r="V28">
        <v>-2.5127105038254341E-2</v>
      </c>
    </row>
    <row r="29" spans="1:22" x14ac:dyDescent="0.3">
      <c r="A29">
        <v>28</v>
      </c>
      <c r="B29" t="s">
        <v>39</v>
      </c>
      <c r="C29">
        <v>144.14936668503555</v>
      </c>
      <c r="D29">
        <v>99.967386427333167</v>
      </c>
      <c r="E29">
        <v>101.3</v>
      </c>
      <c r="F29">
        <v>418.96154719643448</v>
      </c>
      <c r="J29" s="2" t="s">
        <v>133</v>
      </c>
      <c r="K29" s="2" t="s">
        <v>111</v>
      </c>
      <c r="L29" s="3">
        <v>151.80000000000001</v>
      </c>
      <c r="M29" s="3">
        <v>100</v>
      </c>
      <c r="N29" s="3">
        <v>101.3</v>
      </c>
      <c r="O29" s="3">
        <v>419.1</v>
      </c>
      <c r="P29" s="3">
        <v>1.3069999999999999</v>
      </c>
      <c r="Q29" s="3">
        <v>33.97</v>
      </c>
      <c r="S29" s="9">
        <v>-5.0399428952335086</v>
      </c>
      <c r="T29" s="9">
        <v>-3.2613572666832624E-2</v>
      </c>
      <c r="U29" s="9">
        <v>0</v>
      </c>
      <c r="V29">
        <v>-3.3035744110126969E-2</v>
      </c>
    </row>
    <row r="30" spans="1:22" s="7" customFormat="1" ht="15" x14ac:dyDescent="0.25">
      <c r="A30">
        <v>29</v>
      </c>
      <c r="B30" t="s">
        <v>40</v>
      </c>
      <c r="C30">
        <v>151.74832808108832</v>
      </c>
      <c r="D30">
        <v>100</v>
      </c>
      <c r="E30">
        <v>101.3</v>
      </c>
      <c r="F30">
        <v>2637.9073876535076</v>
      </c>
      <c r="J30" s="7" t="s">
        <v>134</v>
      </c>
      <c r="K30" s="7" t="s">
        <v>2</v>
      </c>
      <c r="L30" s="7">
        <v>151.80000000000001</v>
      </c>
      <c r="M30" s="7">
        <v>100</v>
      </c>
      <c r="N30" s="7">
        <v>101.3</v>
      </c>
      <c r="O30" s="7">
        <v>2635</v>
      </c>
      <c r="P30" s="7">
        <v>7.2450000000000001</v>
      </c>
      <c r="Q30" s="7">
        <v>479.3</v>
      </c>
      <c r="S30" s="7">
        <v>-3.4039472273843276E-2</v>
      </c>
      <c r="T30" s="7">
        <v>0</v>
      </c>
      <c r="U30" s="7">
        <v>0</v>
      </c>
      <c r="V30" s="7">
        <v>0.11033729235323007</v>
      </c>
    </row>
    <row r="31" spans="1:22" x14ac:dyDescent="0.3">
      <c r="A31">
        <v>30</v>
      </c>
      <c r="B31" t="s">
        <v>41</v>
      </c>
      <c r="C31">
        <v>14.415091508098111</v>
      </c>
      <c r="D31">
        <v>99.967386427333167</v>
      </c>
      <c r="E31">
        <v>101.3</v>
      </c>
      <c r="F31">
        <v>2637.9073876535076</v>
      </c>
      <c r="J31" s="2" t="s">
        <v>135</v>
      </c>
      <c r="K31" s="2" t="s">
        <v>116</v>
      </c>
      <c r="L31" s="3">
        <v>14.42</v>
      </c>
      <c r="M31" s="3">
        <v>100</v>
      </c>
      <c r="N31" s="3">
        <v>101.3</v>
      </c>
      <c r="O31" s="3">
        <v>2635</v>
      </c>
      <c r="P31" s="3">
        <v>7.2450000000000001</v>
      </c>
      <c r="Q31" s="3">
        <v>479.3</v>
      </c>
      <c r="S31" s="9">
        <v>-3.4039472273845128E-2</v>
      </c>
      <c r="T31" s="9">
        <v>-3.2613572666832624E-2</v>
      </c>
      <c r="U31" s="9">
        <v>0</v>
      </c>
      <c r="V31">
        <v>0.11033729235323007</v>
      </c>
    </row>
    <row r="32" spans="1:22" x14ac:dyDescent="0.3">
      <c r="A32">
        <v>31</v>
      </c>
      <c r="B32" t="s">
        <v>42</v>
      </c>
      <c r="C32">
        <v>7.2075457540490557</v>
      </c>
      <c r="D32">
        <v>99.967386427333167</v>
      </c>
      <c r="E32">
        <v>101.3</v>
      </c>
      <c r="F32">
        <v>2637.9073876535076</v>
      </c>
      <c r="J32" s="2" t="s">
        <v>136</v>
      </c>
      <c r="K32" s="2" t="s">
        <v>116</v>
      </c>
      <c r="L32" s="3">
        <v>7.21</v>
      </c>
      <c r="M32" s="3">
        <v>100</v>
      </c>
      <c r="N32" s="3">
        <v>101.3</v>
      </c>
      <c r="O32" s="3">
        <v>2635</v>
      </c>
      <c r="P32" s="3">
        <v>7.2450000000000001</v>
      </c>
      <c r="Q32" s="3">
        <v>479.3</v>
      </c>
      <c r="S32" s="9">
        <v>-3.4039472273845128E-2</v>
      </c>
      <c r="T32" s="9">
        <v>-3.2613572666832624E-2</v>
      </c>
      <c r="U32" s="9">
        <v>0</v>
      </c>
      <c r="V32">
        <v>0.11033729235323007</v>
      </c>
    </row>
    <row r="33" spans="1:22" x14ac:dyDescent="0.3">
      <c r="A33">
        <v>32</v>
      </c>
      <c r="B33" t="s">
        <v>43</v>
      </c>
      <c r="C33">
        <v>7.2075457540490557</v>
      </c>
      <c r="D33">
        <v>99.967386427333167</v>
      </c>
      <c r="E33">
        <v>101.3</v>
      </c>
      <c r="F33">
        <v>2637.9073876535076</v>
      </c>
      <c r="J33" s="2" t="s">
        <v>137</v>
      </c>
      <c r="K33" s="2" t="s">
        <v>116</v>
      </c>
      <c r="L33" s="3">
        <v>7.21</v>
      </c>
      <c r="M33" s="3">
        <v>100</v>
      </c>
      <c r="N33" s="3">
        <v>101.3</v>
      </c>
      <c r="O33" s="3">
        <v>2635</v>
      </c>
      <c r="P33" s="3">
        <v>7.2450000000000001</v>
      </c>
      <c r="Q33" s="3">
        <v>479.3</v>
      </c>
      <c r="S33" s="9">
        <v>-3.4039472273845128E-2</v>
      </c>
      <c r="T33" s="9">
        <v>-3.2613572666832624E-2</v>
      </c>
      <c r="U33" s="9">
        <v>0</v>
      </c>
      <c r="V33">
        <v>0.11033729235323007</v>
      </c>
    </row>
    <row r="34" spans="1:22" x14ac:dyDescent="0.3">
      <c r="A34">
        <v>33</v>
      </c>
      <c r="B34" t="s">
        <v>44</v>
      </c>
      <c r="C34">
        <v>7.2075457540490557</v>
      </c>
      <c r="D34">
        <v>99.9</v>
      </c>
      <c r="E34">
        <v>101.3</v>
      </c>
      <c r="F34">
        <v>418.67740820121611</v>
      </c>
      <c r="J34" s="2" t="s">
        <v>138</v>
      </c>
      <c r="K34" s="2" t="s">
        <v>111</v>
      </c>
      <c r="L34" s="3">
        <v>7.21</v>
      </c>
      <c r="M34" s="3">
        <v>100</v>
      </c>
      <c r="N34" s="3">
        <v>101.3</v>
      </c>
      <c r="O34" s="3">
        <v>419.1</v>
      </c>
      <c r="P34" s="3">
        <v>1.3069999999999999</v>
      </c>
      <c r="Q34" s="3">
        <v>33.97</v>
      </c>
      <c r="S34" s="9">
        <v>-3.4039472273845128E-2</v>
      </c>
      <c r="T34" s="9">
        <v>-9.9999999999994316E-2</v>
      </c>
      <c r="U34" s="9">
        <v>0</v>
      </c>
      <c r="V34">
        <v>-0.10083316601859044</v>
      </c>
    </row>
    <row r="35" spans="1:22" x14ac:dyDescent="0.3">
      <c r="A35">
        <v>34</v>
      </c>
      <c r="B35" t="s">
        <v>45</v>
      </c>
      <c r="C35">
        <v>7.2075457540490557</v>
      </c>
      <c r="D35">
        <v>99.9</v>
      </c>
      <c r="E35">
        <v>101.3</v>
      </c>
      <c r="F35">
        <v>418.67740820121611</v>
      </c>
      <c r="J35" s="2" t="s">
        <v>139</v>
      </c>
      <c r="K35" s="2" t="s">
        <v>111</v>
      </c>
      <c r="L35" s="3">
        <v>7.21</v>
      </c>
      <c r="M35" s="3">
        <v>100</v>
      </c>
      <c r="N35" s="3">
        <v>101.3</v>
      </c>
      <c r="O35" s="3">
        <v>419.1</v>
      </c>
      <c r="P35" s="3">
        <v>1.3069999999999999</v>
      </c>
      <c r="Q35" s="3">
        <v>33.97</v>
      </c>
      <c r="S35" s="9">
        <v>-3.4039472273845128E-2</v>
      </c>
      <c r="T35" s="9">
        <v>-9.9999999999994316E-2</v>
      </c>
      <c r="U35" s="9">
        <v>0</v>
      </c>
      <c r="V35">
        <v>-0.10083316601859044</v>
      </c>
    </row>
    <row r="36" spans="1:22" s="12" customFormat="1" ht="15" x14ac:dyDescent="0.25">
      <c r="A36">
        <v>35</v>
      </c>
      <c r="B36" t="s">
        <v>46</v>
      </c>
      <c r="C36">
        <v>144.14936668503555</v>
      </c>
      <c r="D36">
        <v>65.808783089744338</v>
      </c>
      <c r="E36">
        <v>101.3</v>
      </c>
      <c r="F36">
        <v>275.51891539192832</v>
      </c>
      <c r="J36" s="13" t="s">
        <v>140</v>
      </c>
      <c r="K36" s="13" t="s">
        <v>118</v>
      </c>
      <c r="L36" s="14">
        <v>127.7</v>
      </c>
      <c r="M36" s="14">
        <v>60</v>
      </c>
      <c r="N36" s="14">
        <v>101.3</v>
      </c>
      <c r="O36" s="14">
        <v>251.2</v>
      </c>
      <c r="P36" s="14">
        <v>0.83109999999999995</v>
      </c>
      <c r="Q36" s="14">
        <v>7.9729999999999999</v>
      </c>
      <c r="S36" s="12">
        <v>12.881258171523523</v>
      </c>
      <c r="T36" s="12">
        <v>9.6813051495738982</v>
      </c>
      <c r="U36" s="12">
        <v>0</v>
      </c>
      <c r="V36" s="12">
        <v>9.6810968916912135</v>
      </c>
    </row>
    <row r="37" spans="1:22" s="12" customFormat="1" ht="15" x14ac:dyDescent="0.25">
      <c r="A37">
        <v>36</v>
      </c>
      <c r="B37" t="s">
        <v>47</v>
      </c>
      <c r="C37">
        <v>144.14936668503555</v>
      </c>
      <c r="D37">
        <v>30.611078554645701</v>
      </c>
      <c r="E37">
        <v>101.3</v>
      </c>
      <c r="F37">
        <v>128.30003953565316</v>
      </c>
      <c r="J37" s="13" t="s">
        <v>141</v>
      </c>
      <c r="K37" s="13" t="s">
        <v>124</v>
      </c>
      <c r="L37" s="14">
        <v>127.7</v>
      </c>
      <c r="M37" s="14">
        <v>30.6</v>
      </c>
      <c r="N37" s="14">
        <v>101.3</v>
      </c>
      <c r="O37" s="14">
        <v>128.30000000000001</v>
      </c>
      <c r="P37" s="14">
        <v>0.44469999999999998</v>
      </c>
      <c r="Q37" s="14">
        <v>0.217</v>
      </c>
      <c r="S37" s="12">
        <v>12.881258171523523</v>
      </c>
      <c r="T37" s="12">
        <v>3.6204426946730435E-2</v>
      </c>
      <c r="U37" s="12">
        <v>0</v>
      </c>
      <c r="V37" s="12">
        <v>3.0815006347766824E-5</v>
      </c>
    </row>
    <row r="38" spans="1:22" s="7" customFormat="1" ht="15" x14ac:dyDescent="0.25">
      <c r="A38">
        <v>37</v>
      </c>
      <c r="B38" t="s">
        <v>48</v>
      </c>
      <c r="C38">
        <v>7.5864167444491377</v>
      </c>
      <c r="D38">
        <v>54.9</v>
      </c>
      <c r="E38">
        <v>110</v>
      </c>
      <c r="F38">
        <v>167.6</v>
      </c>
      <c r="J38" s="7" t="s">
        <v>142</v>
      </c>
      <c r="K38" s="7" t="s">
        <v>143</v>
      </c>
      <c r="L38" s="7">
        <v>7.5890000000000004</v>
      </c>
      <c r="M38" s="7">
        <v>54.9</v>
      </c>
      <c r="N38" s="7">
        <v>101.3</v>
      </c>
      <c r="O38" s="7">
        <v>167.6</v>
      </c>
      <c r="P38" s="7">
        <v>0.57220000000000004</v>
      </c>
      <c r="Q38" s="7">
        <v>1.7529999999999999</v>
      </c>
      <c r="S38" s="7">
        <v>-3.4039472273852879E-2</v>
      </c>
      <c r="T38" s="7">
        <v>0</v>
      </c>
      <c r="U38" s="7">
        <v>8.5883514313919083</v>
      </c>
      <c r="V38" s="7">
        <v>0</v>
      </c>
    </row>
    <row r="39" spans="1:22" s="12" customFormat="1" ht="15" x14ac:dyDescent="0.25">
      <c r="A39">
        <v>38</v>
      </c>
      <c r="B39" t="s">
        <v>49</v>
      </c>
      <c r="C39">
        <v>112.15885731002233</v>
      </c>
      <c r="D39">
        <v>30.023201538649289</v>
      </c>
      <c r="E39">
        <v>101.3</v>
      </c>
      <c r="F39">
        <v>125.8416697939867</v>
      </c>
      <c r="J39" s="13" t="s">
        <v>144</v>
      </c>
      <c r="K39" s="13" t="s">
        <v>124</v>
      </c>
      <c r="L39" s="14">
        <v>120.1</v>
      </c>
      <c r="M39" s="14">
        <v>30</v>
      </c>
      <c r="N39" s="14">
        <v>101.3</v>
      </c>
      <c r="O39" s="14">
        <v>125.8</v>
      </c>
      <c r="P39" s="14">
        <v>0.43659999999999999</v>
      </c>
      <c r="Q39" s="14">
        <v>0.17399999999999999</v>
      </c>
      <c r="S39" s="12">
        <v>-6.612108817633362</v>
      </c>
      <c r="T39" s="12">
        <v>7.7338462164296601E-2</v>
      </c>
      <c r="U39" s="12">
        <v>0</v>
      </c>
      <c r="V39" s="12">
        <v>3.3123842596740248E-2</v>
      </c>
    </row>
    <row r="40" spans="1:22" s="12" customFormat="1" ht="15" x14ac:dyDescent="0.25">
      <c r="A40">
        <v>39</v>
      </c>
      <c r="B40" t="s">
        <v>50</v>
      </c>
      <c r="C40">
        <v>112.15885731002233</v>
      </c>
      <c r="D40">
        <v>29.997176072762954</v>
      </c>
      <c r="E40">
        <v>4.2460000000000004</v>
      </c>
      <c r="F40">
        <v>125.73335649202413</v>
      </c>
      <c r="J40" s="13" t="s">
        <v>145</v>
      </c>
      <c r="K40" s="13" t="s">
        <v>111</v>
      </c>
      <c r="L40" s="14">
        <v>120.1</v>
      </c>
      <c r="M40" s="14">
        <v>30</v>
      </c>
      <c r="N40" s="14">
        <v>4.2460000000000004</v>
      </c>
      <c r="O40" s="14">
        <v>125.7</v>
      </c>
      <c r="P40" s="14">
        <v>0.4365</v>
      </c>
      <c r="Q40" s="14">
        <v>7.5999999999999998E-2</v>
      </c>
      <c r="S40" s="12">
        <v>-6.612108817633362</v>
      </c>
      <c r="T40" s="12">
        <v>-9.4130907901520296E-3</v>
      </c>
      <c r="U40" s="12">
        <v>0</v>
      </c>
      <c r="V40" s="12">
        <v>2.6536588722454915E-2</v>
      </c>
    </row>
    <row r="41" spans="1:22" s="12" customFormat="1" ht="15" x14ac:dyDescent="0.25">
      <c r="A41">
        <v>40</v>
      </c>
      <c r="B41" t="s">
        <v>51</v>
      </c>
      <c r="C41">
        <v>112.15885731002233</v>
      </c>
      <c r="D41">
        <v>29.997176072762954</v>
      </c>
      <c r="E41">
        <v>4.2460000000000004</v>
      </c>
      <c r="F41">
        <v>2236.8195027531588</v>
      </c>
      <c r="J41" s="13" t="s">
        <v>146</v>
      </c>
      <c r="K41" s="13" t="s">
        <v>147</v>
      </c>
      <c r="L41" s="14">
        <v>120.1</v>
      </c>
      <c r="M41" s="14">
        <v>30</v>
      </c>
      <c r="N41" s="14">
        <v>4.2460000000000004</v>
      </c>
      <c r="O41" s="14">
        <v>2457</v>
      </c>
      <c r="P41" s="14">
        <v>8.1259999999999994</v>
      </c>
      <c r="Q41" s="14">
        <v>38.53</v>
      </c>
      <c r="S41" s="12">
        <v>-6.612108817633362</v>
      </c>
      <c r="T41" s="12">
        <v>-9.4130907901520296E-3</v>
      </c>
      <c r="U41" s="12">
        <v>0</v>
      </c>
      <c r="V41" s="12">
        <v>-8.9613551993016376</v>
      </c>
    </row>
    <row r="42" spans="1:22" x14ac:dyDescent="0.3">
      <c r="A42">
        <v>41</v>
      </c>
      <c r="B42" t="s">
        <v>52</v>
      </c>
      <c r="C42">
        <v>198.6</v>
      </c>
      <c r="D42">
        <v>25</v>
      </c>
      <c r="E42">
        <v>101.3</v>
      </c>
      <c r="F42">
        <v>285.80364184514133</v>
      </c>
      <c r="J42" s="2" t="s">
        <v>148</v>
      </c>
      <c r="K42" s="2" t="s">
        <v>3</v>
      </c>
      <c r="L42" s="3">
        <v>198.6</v>
      </c>
      <c r="M42" s="3">
        <v>25</v>
      </c>
      <c r="N42" s="3">
        <v>101.3</v>
      </c>
      <c r="O42" s="3">
        <v>298.60000000000002</v>
      </c>
      <c r="P42" s="3">
        <v>5.6950000000000003</v>
      </c>
      <c r="Q42" s="3">
        <v>1421</v>
      </c>
      <c r="S42" s="9">
        <v>0</v>
      </c>
      <c r="T42" s="9">
        <v>0</v>
      </c>
      <c r="U42" s="9">
        <v>0</v>
      </c>
      <c r="V42">
        <v>-4.2854514919151692</v>
      </c>
    </row>
    <row r="43" spans="1:22" s="12" customFormat="1" ht="15" x14ac:dyDescent="0.25">
      <c r="A43">
        <v>42</v>
      </c>
      <c r="B43" t="s">
        <v>53</v>
      </c>
      <c r="C43">
        <v>355.64656771050926</v>
      </c>
      <c r="D43">
        <v>515.46868569872527</v>
      </c>
      <c r="E43">
        <v>2027</v>
      </c>
      <c r="F43">
        <v>835.91720799185805</v>
      </c>
      <c r="J43" s="13" t="s">
        <v>149</v>
      </c>
      <c r="K43" s="13" t="s">
        <v>150</v>
      </c>
      <c r="L43" s="14">
        <v>325.7</v>
      </c>
      <c r="M43" s="14">
        <v>1300</v>
      </c>
      <c r="N43" s="14">
        <v>2027</v>
      </c>
      <c r="O43" s="14">
        <v>1725</v>
      </c>
      <c r="P43" s="14">
        <v>6.6420000000000003</v>
      </c>
      <c r="Q43" s="14">
        <v>2101</v>
      </c>
      <c r="S43" s="12">
        <v>9.1945249341446953</v>
      </c>
      <c r="T43" s="12">
        <v>-60.348562638559599</v>
      </c>
      <c r="U43" s="12">
        <v>0</v>
      </c>
      <c r="V43" s="12">
        <v>-51.541031420761854</v>
      </c>
    </row>
    <row r="44" spans="1:22" x14ac:dyDescent="0.3">
      <c r="A44">
        <v>43</v>
      </c>
      <c r="B44" t="s">
        <v>54</v>
      </c>
      <c r="C44">
        <v>48.601682446399991</v>
      </c>
      <c r="D44">
        <v>1000</v>
      </c>
      <c r="E44">
        <v>2027</v>
      </c>
      <c r="F44">
        <v>1363.9989271060263</v>
      </c>
      <c r="J44" s="2" t="s">
        <v>151</v>
      </c>
      <c r="K44" s="2" t="s">
        <v>152</v>
      </c>
      <c r="L44" s="3">
        <v>48.65</v>
      </c>
      <c r="M44" s="3">
        <v>1000</v>
      </c>
      <c r="N44" s="3">
        <v>2027</v>
      </c>
      <c r="O44" s="3">
        <v>1364</v>
      </c>
      <c r="P44" s="3">
        <v>6.3879999999999999</v>
      </c>
      <c r="Q44" s="3">
        <v>9934</v>
      </c>
      <c r="S44" s="9">
        <v>-9.931665693732282E-2</v>
      </c>
      <c r="T44" s="9">
        <v>0</v>
      </c>
      <c r="U44" s="9">
        <v>0</v>
      </c>
      <c r="V44">
        <v>-7.865791596348124E-5</v>
      </c>
    </row>
    <row r="45" spans="1:22" s="12" customFormat="1" ht="15" x14ac:dyDescent="0.25">
      <c r="A45">
        <v>44</v>
      </c>
      <c r="B45" t="s">
        <v>55</v>
      </c>
      <c r="C45">
        <v>404.2123613938607</v>
      </c>
      <c r="D45">
        <v>1402.8914240291504</v>
      </c>
      <c r="E45">
        <v>2027</v>
      </c>
      <c r="F45">
        <v>2064.5092432020474</v>
      </c>
      <c r="J45" s="13" t="s">
        <v>153</v>
      </c>
      <c r="K45" s="13" t="s">
        <v>154</v>
      </c>
      <c r="L45" s="14">
        <v>374.3</v>
      </c>
      <c r="M45" s="14">
        <v>1404</v>
      </c>
      <c r="N45" s="14">
        <v>2027</v>
      </c>
      <c r="O45" s="14">
        <v>1852</v>
      </c>
      <c r="P45" s="14">
        <v>6.72</v>
      </c>
      <c r="Q45" s="14">
        <v>2669</v>
      </c>
      <c r="S45" s="12">
        <v>7.9915472599146913</v>
      </c>
      <c r="T45" s="12">
        <v>-7.8958402482168275E-2</v>
      </c>
      <c r="U45" s="12">
        <v>0</v>
      </c>
      <c r="V45" s="12">
        <v>11.474581166417245</v>
      </c>
    </row>
    <row r="46" spans="1:22" s="12" customFormat="1" ht="15" x14ac:dyDescent="0.25">
      <c r="A46">
        <v>45</v>
      </c>
      <c r="B46" t="s">
        <v>56</v>
      </c>
      <c r="C46">
        <v>404.2123613938607</v>
      </c>
      <c r="D46">
        <v>705.67596160007975</v>
      </c>
      <c r="E46">
        <v>101.3</v>
      </c>
      <c r="F46">
        <v>993.22341068507387</v>
      </c>
      <c r="J46" s="13" t="s">
        <v>155</v>
      </c>
      <c r="K46" s="13" t="s">
        <v>156</v>
      </c>
      <c r="L46" s="14">
        <v>374.3</v>
      </c>
      <c r="M46" s="14">
        <v>713.7</v>
      </c>
      <c r="N46" s="14">
        <v>110</v>
      </c>
      <c r="O46" s="14">
        <v>1031</v>
      </c>
      <c r="P46" s="14">
        <v>6.9279999999999999</v>
      </c>
      <c r="Q46" s="14">
        <v>1786</v>
      </c>
      <c r="S46" s="12">
        <v>7.9915472599146913</v>
      </c>
      <c r="T46" s="12">
        <v>-1.1242872915679276</v>
      </c>
      <c r="U46" s="12">
        <v>-7.9090909090909118</v>
      </c>
      <c r="V46" s="12">
        <v>-3.6640726784603421</v>
      </c>
    </row>
    <row r="47" spans="1:22" s="12" customFormat="1" ht="15" x14ac:dyDescent="0.25">
      <c r="A47">
        <v>46</v>
      </c>
      <c r="B47" t="s">
        <v>57</v>
      </c>
      <c r="C47">
        <v>404.2123613938607</v>
      </c>
      <c r="D47">
        <v>610.10353463767217</v>
      </c>
      <c r="E47">
        <v>101.3</v>
      </c>
      <c r="F47">
        <v>986.30176758594052</v>
      </c>
      <c r="J47" s="13" t="s">
        <v>157</v>
      </c>
      <c r="K47" s="13" t="s">
        <v>156</v>
      </c>
      <c r="L47" s="14">
        <v>374.3</v>
      </c>
      <c r="M47" s="14">
        <v>639.20000000000005</v>
      </c>
      <c r="N47" s="14">
        <v>110</v>
      </c>
      <c r="O47" s="14">
        <v>947.1</v>
      </c>
      <c r="P47" s="14">
        <v>6.84</v>
      </c>
      <c r="Q47" s="14">
        <v>1728</v>
      </c>
      <c r="S47" s="12">
        <v>7.9915472599146913</v>
      </c>
      <c r="T47" s="12">
        <v>-4.5520127287746988</v>
      </c>
      <c r="U47" s="12">
        <v>-7.9090909090909118</v>
      </c>
      <c r="V47" s="12">
        <v>4.1391371118087319</v>
      </c>
    </row>
    <row r="48" spans="1:22" s="12" customFormat="1" ht="15" x14ac:dyDescent="0.25">
      <c r="A48">
        <v>47</v>
      </c>
      <c r="B48" t="s">
        <v>58</v>
      </c>
      <c r="C48">
        <v>404.2123613938607</v>
      </c>
      <c r="D48">
        <v>511.50832338640151</v>
      </c>
      <c r="E48">
        <v>101.3</v>
      </c>
      <c r="F48">
        <v>862.45187477723437</v>
      </c>
      <c r="J48" s="13" t="s">
        <v>158</v>
      </c>
      <c r="K48" s="13" t="s">
        <v>156</v>
      </c>
      <c r="L48" s="14">
        <v>374.3</v>
      </c>
      <c r="M48" s="14">
        <v>565</v>
      </c>
      <c r="N48" s="14">
        <v>110</v>
      </c>
      <c r="O48" s="14">
        <v>864.3</v>
      </c>
      <c r="P48" s="14">
        <v>6.7450000000000001</v>
      </c>
      <c r="Q48" s="14">
        <v>1674</v>
      </c>
      <c r="S48" s="12">
        <v>7.9915472599146913</v>
      </c>
      <c r="T48" s="12">
        <v>-9.4675533829377851</v>
      </c>
      <c r="U48" s="12">
        <v>-7.9090909090909118</v>
      </c>
      <c r="V48" s="12">
        <v>-0.21382913603674522</v>
      </c>
    </row>
    <row r="49" spans="1:22" s="12" customFormat="1" ht="15" x14ac:dyDescent="0.25">
      <c r="A49">
        <v>48</v>
      </c>
      <c r="B49" t="s">
        <v>59</v>
      </c>
      <c r="C49">
        <v>404.2123613938607</v>
      </c>
      <c r="D49">
        <v>469.62015114286396</v>
      </c>
      <c r="E49">
        <v>101.3</v>
      </c>
      <c r="F49">
        <v>810.6775318711185</v>
      </c>
      <c r="J49" s="13" t="s">
        <v>159</v>
      </c>
      <c r="K49" s="13" t="s">
        <v>156</v>
      </c>
      <c r="L49" s="14">
        <v>374.3</v>
      </c>
      <c r="M49" s="14">
        <v>533</v>
      </c>
      <c r="N49" s="14">
        <v>110</v>
      </c>
      <c r="O49" s="14">
        <v>828.9</v>
      </c>
      <c r="P49" s="14">
        <v>6.702</v>
      </c>
      <c r="Q49" s="14">
        <v>1651</v>
      </c>
      <c r="S49" s="12">
        <v>7.9915472599146913</v>
      </c>
      <c r="T49" s="12">
        <v>-11.891153631732839</v>
      </c>
      <c r="U49" s="12">
        <v>-7.9090909090909118</v>
      </c>
      <c r="V49" s="12">
        <v>-2.1983916188782091</v>
      </c>
    </row>
    <row r="50" spans="1:22" s="12" customFormat="1" ht="15" x14ac:dyDescent="0.25">
      <c r="A50">
        <v>49</v>
      </c>
      <c r="B50" t="s">
        <v>60</v>
      </c>
      <c r="C50">
        <v>404.2123613938607</v>
      </c>
      <c r="D50">
        <v>416.26608058390161</v>
      </c>
      <c r="E50">
        <v>101.3</v>
      </c>
      <c r="F50">
        <v>745.49316225853215</v>
      </c>
      <c r="J50" s="13" t="s">
        <v>160</v>
      </c>
      <c r="K50" s="13" t="s">
        <v>156</v>
      </c>
      <c r="L50" s="14">
        <v>374.3</v>
      </c>
      <c r="M50" s="14">
        <v>492.1</v>
      </c>
      <c r="N50" s="14">
        <v>110</v>
      </c>
      <c r="O50" s="14">
        <v>784.2</v>
      </c>
      <c r="P50" s="14">
        <v>6.6449999999999996</v>
      </c>
      <c r="Q50" s="14">
        <v>1624</v>
      </c>
      <c r="S50" s="12">
        <v>7.9915472599146913</v>
      </c>
      <c r="T50" s="12">
        <v>-15.410266087400611</v>
      </c>
      <c r="U50" s="12">
        <v>-7.9090909090909118</v>
      </c>
      <c r="V50" s="12">
        <v>-4.9358375084758848</v>
      </c>
    </row>
    <row r="51" spans="1:22" s="12" customFormat="1" ht="15" x14ac:dyDescent="0.25">
      <c r="A51">
        <v>50</v>
      </c>
      <c r="B51" t="s">
        <v>61</v>
      </c>
      <c r="C51">
        <v>404.2123613938607</v>
      </c>
      <c r="D51">
        <v>223.06359095826963</v>
      </c>
      <c r="E51">
        <v>101.3</v>
      </c>
      <c r="F51">
        <v>517.08032308727229</v>
      </c>
      <c r="J51" s="13" t="s">
        <v>161</v>
      </c>
      <c r="K51" s="13" t="s">
        <v>156</v>
      </c>
      <c r="L51" s="14">
        <v>374.3</v>
      </c>
      <c r="M51" s="14">
        <v>263.10000000000002</v>
      </c>
      <c r="N51" s="14">
        <v>110</v>
      </c>
      <c r="O51" s="14">
        <v>540.79999999999995</v>
      </c>
      <c r="P51" s="14">
        <v>6.2679999999999998</v>
      </c>
      <c r="Q51" s="14">
        <v>1493</v>
      </c>
      <c r="S51" s="12">
        <v>7.9915472599146913</v>
      </c>
      <c r="T51" s="12">
        <v>-15.217183216165106</v>
      </c>
      <c r="U51" s="12">
        <v>-7.9090909090909118</v>
      </c>
      <c r="V51" s="12">
        <v>-4.3860349320872158</v>
      </c>
    </row>
    <row r="52" spans="1:22" s="12" customFormat="1" ht="15" x14ac:dyDescent="0.25">
      <c r="A52">
        <v>51</v>
      </c>
      <c r="B52" t="s">
        <v>62</v>
      </c>
      <c r="C52">
        <v>404.2123613938607</v>
      </c>
      <c r="D52">
        <v>150.17278297523825</v>
      </c>
      <c r="E52">
        <v>101.3</v>
      </c>
      <c r="F52">
        <v>434.227011275427</v>
      </c>
      <c r="J52" s="13" t="s">
        <v>162</v>
      </c>
      <c r="K52" s="13" t="s">
        <v>156</v>
      </c>
      <c r="L52" s="14">
        <v>374.3</v>
      </c>
      <c r="M52" s="14">
        <v>139.6</v>
      </c>
      <c r="N52" s="14">
        <v>110</v>
      </c>
      <c r="O52" s="14">
        <v>414.2</v>
      </c>
      <c r="P52" s="14">
        <v>6</v>
      </c>
      <c r="Q52" s="14">
        <v>1446</v>
      </c>
      <c r="S52" s="12">
        <v>7.9915472599146913</v>
      </c>
      <c r="T52" s="12">
        <v>7.5736267730933058</v>
      </c>
      <c r="U52" s="12">
        <v>-7.9090909090909118</v>
      </c>
      <c r="V52" s="12">
        <v>4.8351065368003416</v>
      </c>
    </row>
    <row r="53" spans="1:22" s="12" customFormat="1" ht="15" x14ac:dyDescent="0.25">
      <c r="A53">
        <v>52</v>
      </c>
      <c r="B53" t="s">
        <v>63</v>
      </c>
      <c r="C53">
        <v>157.04652398905776</v>
      </c>
      <c r="D53">
        <v>40.600000000000037</v>
      </c>
      <c r="E53">
        <v>101.3</v>
      </c>
      <c r="F53">
        <v>313.31875785407175</v>
      </c>
      <c r="J53" s="13" t="s">
        <v>163</v>
      </c>
      <c r="K53" s="13" t="s">
        <v>164</v>
      </c>
      <c r="L53" s="14">
        <v>157.1</v>
      </c>
      <c r="M53" s="14">
        <v>40.6</v>
      </c>
      <c r="N53" s="14">
        <v>110</v>
      </c>
      <c r="O53" s="14">
        <v>314.2</v>
      </c>
      <c r="P53" s="14">
        <v>5.7229999999999999</v>
      </c>
      <c r="Q53" s="14">
        <v>1428</v>
      </c>
      <c r="S53" s="12">
        <v>-3.4039472273859735E-2</v>
      </c>
      <c r="T53" s="12">
        <v>8.7505263024642877E-14</v>
      </c>
      <c r="U53" s="12">
        <v>-7.9090909090909118</v>
      </c>
      <c r="V53" s="12">
        <v>-0.28047172053731401</v>
      </c>
    </row>
    <row r="54" spans="1:22" s="12" customFormat="1" ht="15" x14ac:dyDescent="0.25">
      <c r="A54">
        <v>53</v>
      </c>
      <c r="B54" t="s">
        <v>64</v>
      </c>
      <c r="C54">
        <v>246.66800692137485</v>
      </c>
      <c r="D54">
        <v>130</v>
      </c>
      <c r="E54">
        <v>110</v>
      </c>
      <c r="F54">
        <v>411.63544962774029</v>
      </c>
      <c r="J54" s="13" t="s">
        <v>165</v>
      </c>
      <c r="K54" s="13" t="s">
        <v>166</v>
      </c>
      <c r="L54" s="14">
        <v>217.2</v>
      </c>
      <c r="M54" s="14">
        <v>130</v>
      </c>
      <c r="N54" s="14">
        <v>110</v>
      </c>
      <c r="O54" s="14">
        <v>404.5</v>
      </c>
      <c r="P54" s="14">
        <v>5.976</v>
      </c>
      <c r="Q54" s="14">
        <v>1443</v>
      </c>
      <c r="S54" s="12">
        <v>13.567222339491192</v>
      </c>
      <c r="T54" s="12">
        <v>0</v>
      </c>
      <c r="U54" s="12">
        <v>0</v>
      </c>
      <c r="V54" s="12">
        <v>1.7640172132856082</v>
      </c>
    </row>
    <row r="55" spans="1:22" x14ac:dyDescent="0.3">
      <c r="A55">
        <v>54</v>
      </c>
      <c r="B55" t="s">
        <v>65</v>
      </c>
      <c r="C55">
        <v>28.686032101115241</v>
      </c>
      <c r="D55">
        <v>54.9</v>
      </c>
      <c r="E55">
        <v>101.3</v>
      </c>
      <c r="F55">
        <v>167.61104</v>
      </c>
      <c r="J55" s="2" t="s">
        <v>167</v>
      </c>
      <c r="K55" s="2" t="s">
        <v>168</v>
      </c>
      <c r="L55" s="3">
        <v>28.7</v>
      </c>
      <c r="M55" s="3">
        <v>54.9</v>
      </c>
      <c r="N55" s="3">
        <v>101.3</v>
      </c>
      <c r="O55" s="3">
        <v>167.6</v>
      </c>
      <c r="P55" s="3">
        <v>0.57220000000000004</v>
      </c>
      <c r="Q55" s="3">
        <v>1.7529999999999999</v>
      </c>
      <c r="S55" s="9">
        <v>-4.8668637229121257E-2</v>
      </c>
      <c r="T55" s="9">
        <v>0</v>
      </c>
      <c r="U55" s="9">
        <v>0</v>
      </c>
      <c r="V55">
        <v>6.5871121718427067E-3</v>
      </c>
    </row>
    <row r="56" spans="1:22" s="7" customFormat="1" ht="15" x14ac:dyDescent="0.25">
      <c r="A56">
        <v>55</v>
      </c>
      <c r="B56" t="s">
        <v>66</v>
      </c>
      <c r="C56">
        <v>402.56292304515318</v>
      </c>
      <c r="D56">
        <v>40</v>
      </c>
      <c r="E56">
        <v>101.3</v>
      </c>
      <c r="F56">
        <v>151.72</v>
      </c>
      <c r="J56" s="7" t="s">
        <v>169</v>
      </c>
      <c r="K56" s="7" t="s">
        <v>170</v>
      </c>
      <c r="L56" s="7">
        <v>402.7</v>
      </c>
      <c r="M56" s="7">
        <v>40</v>
      </c>
      <c r="N56" s="7">
        <v>101.3</v>
      </c>
      <c r="O56" s="7">
        <v>151.69999999999999</v>
      </c>
      <c r="P56" s="7">
        <v>0.50600000000000001</v>
      </c>
      <c r="Q56" s="7">
        <v>2.4350000000000001</v>
      </c>
      <c r="S56" s="7">
        <v>-3.4039472273852671E-2</v>
      </c>
      <c r="T56" s="7">
        <v>0</v>
      </c>
      <c r="U56" s="7">
        <v>0</v>
      </c>
      <c r="V56" s="7">
        <v>1.3183915622946759E-2</v>
      </c>
    </row>
    <row r="57" spans="1:22" s="7" customFormat="1" ht="15" x14ac:dyDescent="0.25">
      <c r="A57">
        <v>56</v>
      </c>
      <c r="B57" t="s">
        <v>67</v>
      </c>
      <c r="C57">
        <v>2.6706808305041037</v>
      </c>
      <c r="D57">
        <v>40</v>
      </c>
      <c r="E57">
        <v>101.3</v>
      </c>
      <c r="F57">
        <v>151.72</v>
      </c>
      <c r="J57" s="7" t="s">
        <v>171</v>
      </c>
      <c r="K57" s="7" t="s">
        <v>172</v>
      </c>
      <c r="L57" s="7">
        <v>2.6709999999999998</v>
      </c>
      <c r="M57" s="7">
        <v>40</v>
      </c>
      <c r="N57" s="7">
        <v>101.3</v>
      </c>
      <c r="O57" s="7">
        <v>151.69999999999999</v>
      </c>
      <c r="P57" s="7">
        <v>0.50600000000000001</v>
      </c>
      <c r="Q57" s="7">
        <v>2.4350000000000001</v>
      </c>
      <c r="S57" s="7">
        <v>-1.1949438258935437E-2</v>
      </c>
      <c r="T57" s="7">
        <v>0</v>
      </c>
      <c r="U57" s="7">
        <v>0</v>
      </c>
      <c r="V57" s="7">
        <v>1.3183915622946759E-2</v>
      </c>
    </row>
    <row r="58" spans="1:22" s="7" customFormat="1" ht="15" x14ac:dyDescent="0.25">
      <c r="A58">
        <v>57</v>
      </c>
      <c r="B58" t="s">
        <v>68</v>
      </c>
      <c r="C58">
        <v>2.9826435482567359</v>
      </c>
      <c r="D58">
        <v>20</v>
      </c>
      <c r="E58">
        <v>101.3</v>
      </c>
      <c r="F58">
        <v>21.6</v>
      </c>
      <c r="J58" s="7" t="s">
        <v>173</v>
      </c>
      <c r="K58" s="7" t="s">
        <v>174</v>
      </c>
      <c r="L58" s="7">
        <v>2.9830000000000001</v>
      </c>
      <c r="M58" s="7">
        <v>20</v>
      </c>
      <c r="N58" s="7">
        <v>101.3</v>
      </c>
      <c r="O58" s="7">
        <v>0</v>
      </c>
      <c r="P58" s="7">
        <v>72</v>
      </c>
      <c r="Q58" s="7">
        <v>14646</v>
      </c>
      <c r="S58" s="7">
        <v>-1.1949438258939064E-2</v>
      </c>
      <c r="T58" s="7">
        <v>0</v>
      </c>
      <c r="U58" s="7">
        <v>0</v>
      </c>
      <c r="V58" s="7" t="e">
        <v>#DIV/0!</v>
      </c>
    </row>
    <row r="59" spans="1:22" x14ac:dyDescent="0.3">
      <c r="A59">
        <v>58</v>
      </c>
      <c r="B59" t="s">
        <v>69</v>
      </c>
      <c r="C59">
        <v>0.82690117814559849</v>
      </c>
      <c r="D59">
        <v>25</v>
      </c>
      <c r="E59">
        <v>500</v>
      </c>
      <c r="F59">
        <v>200000</v>
      </c>
      <c r="G59" s="4"/>
      <c r="H59" s="4"/>
      <c r="I59" s="4"/>
      <c r="J59" s="5" t="s">
        <v>175</v>
      </c>
      <c r="K59" s="5" t="s">
        <v>176</v>
      </c>
      <c r="L59" s="6">
        <v>0.82699999999999996</v>
      </c>
      <c r="M59" s="6">
        <v>25</v>
      </c>
      <c r="N59" s="6">
        <v>500</v>
      </c>
      <c r="O59" s="3">
        <v>200000</v>
      </c>
      <c r="P59" s="3">
        <v>671</v>
      </c>
      <c r="Q59" s="3">
        <v>1745</v>
      </c>
      <c r="S59" s="4">
        <v>-1.1949438258943795E-2</v>
      </c>
      <c r="T59" s="9">
        <v>0</v>
      </c>
      <c r="U59" s="9">
        <v>0</v>
      </c>
      <c r="V59">
        <v>0</v>
      </c>
    </row>
    <row r="60" spans="1:22" s="7" customFormat="1" ht="15" x14ac:dyDescent="0.25">
      <c r="A60">
        <v>59</v>
      </c>
      <c r="B60" t="s">
        <v>70</v>
      </c>
      <c r="C60">
        <v>2.3997132134817856E-2</v>
      </c>
      <c r="D60">
        <v>25</v>
      </c>
      <c r="E60">
        <v>500</v>
      </c>
      <c r="F60">
        <v>122000</v>
      </c>
      <c r="J60" s="7" t="s">
        <v>177</v>
      </c>
      <c r="K60" s="7" t="s">
        <v>4</v>
      </c>
      <c r="L60" s="7">
        <v>2.4E-2</v>
      </c>
      <c r="M60" s="7">
        <v>25</v>
      </c>
      <c r="N60" s="7">
        <v>500</v>
      </c>
      <c r="O60" s="7">
        <v>122000</v>
      </c>
      <c r="P60" s="7">
        <v>409</v>
      </c>
      <c r="Q60" s="7">
        <v>117123</v>
      </c>
      <c r="S60" s="7">
        <v>-1.1949438258936768E-2</v>
      </c>
      <c r="T60" s="7">
        <v>0</v>
      </c>
      <c r="U60" s="7">
        <v>0</v>
      </c>
      <c r="V60" s="7">
        <v>0</v>
      </c>
    </row>
    <row r="61" spans="1:22" s="7" customFormat="1" ht="15" x14ac:dyDescent="0.25">
      <c r="A61">
        <v>60</v>
      </c>
      <c r="B61" t="s">
        <v>71</v>
      </c>
      <c r="C61">
        <v>4.8012601407756375</v>
      </c>
      <c r="D61">
        <v>25</v>
      </c>
      <c r="E61">
        <v>1000</v>
      </c>
      <c r="F61">
        <v>160</v>
      </c>
      <c r="J61" s="7" t="s">
        <v>178</v>
      </c>
      <c r="K61" s="7" t="s">
        <v>179</v>
      </c>
      <c r="L61" s="7">
        <v>4.8029999999999999</v>
      </c>
      <c r="M61" s="7">
        <v>25</v>
      </c>
      <c r="N61" s="7">
        <v>1000</v>
      </c>
      <c r="O61" s="7">
        <v>160</v>
      </c>
      <c r="P61" s="7">
        <v>0.6</v>
      </c>
      <c r="Q61" s="7">
        <v>8816</v>
      </c>
      <c r="S61" s="7">
        <v>-3.6224426907401276E-2</v>
      </c>
      <c r="T61" s="7">
        <v>0</v>
      </c>
      <c r="U61" s="7">
        <v>0</v>
      </c>
      <c r="V61" s="7">
        <v>0</v>
      </c>
    </row>
    <row r="62" spans="1:22" s="7" customFormat="1" ht="15" x14ac:dyDescent="0.25">
      <c r="A62">
        <v>61</v>
      </c>
      <c r="B62" t="s">
        <v>72</v>
      </c>
      <c r="C62">
        <v>6.7991874381983924E-2</v>
      </c>
      <c r="D62">
        <v>25</v>
      </c>
      <c r="E62">
        <v>2000</v>
      </c>
      <c r="F62">
        <v>122000</v>
      </c>
      <c r="J62" s="7" t="s">
        <v>180</v>
      </c>
      <c r="K62" s="7" t="s">
        <v>4</v>
      </c>
      <c r="L62" s="7">
        <v>6.8000000000000005E-2</v>
      </c>
      <c r="M62" s="7">
        <v>25</v>
      </c>
      <c r="N62" s="7">
        <v>2000</v>
      </c>
      <c r="O62" s="7">
        <v>122000</v>
      </c>
      <c r="P62" s="7">
        <v>409</v>
      </c>
      <c r="Q62" s="7">
        <v>117123</v>
      </c>
      <c r="S62" s="7">
        <v>-1.1949438258941869E-2</v>
      </c>
      <c r="T62" s="7">
        <v>0</v>
      </c>
      <c r="U62" s="7">
        <v>0</v>
      </c>
      <c r="V62" s="7">
        <v>0</v>
      </c>
    </row>
    <row r="63" spans="1:22" s="7" customFormat="1" ht="15" x14ac:dyDescent="0.25">
      <c r="A63">
        <v>62</v>
      </c>
      <c r="B63" t="s">
        <v>73</v>
      </c>
      <c r="C63">
        <v>4.1927408779896922</v>
      </c>
      <c r="D63">
        <v>25</v>
      </c>
      <c r="E63">
        <v>101.3</v>
      </c>
      <c r="F63">
        <v>175</v>
      </c>
      <c r="J63" s="7" t="s">
        <v>181</v>
      </c>
      <c r="K63" s="7" t="s">
        <v>182</v>
      </c>
      <c r="L63" s="7">
        <v>4.1929999999999996</v>
      </c>
      <c r="M63" s="7">
        <v>25</v>
      </c>
      <c r="N63" s="7">
        <v>101.3</v>
      </c>
      <c r="O63" s="7">
        <v>175</v>
      </c>
      <c r="P63" s="7">
        <v>0.65</v>
      </c>
      <c r="Q63" s="7">
        <v>10108</v>
      </c>
      <c r="S63" s="7">
        <v>-6.1798714597524947E-3</v>
      </c>
      <c r="T63" s="7">
        <v>0</v>
      </c>
      <c r="U63" s="7">
        <v>0</v>
      </c>
      <c r="V63" s="7">
        <v>0</v>
      </c>
    </row>
    <row r="64" spans="1:22" s="7" customFormat="1" ht="15" x14ac:dyDescent="0.25">
      <c r="A64">
        <v>63</v>
      </c>
      <c r="B64" t="s">
        <v>74</v>
      </c>
      <c r="C64">
        <v>0.54193523404463662</v>
      </c>
      <c r="D64">
        <v>25</v>
      </c>
      <c r="E64">
        <v>2000</v>
      </c>
      <c r="F64">
        <v>0</v>
      </c>
      <c r="J64" s="7" t="s">
        <v>183</v>
      </c>
      <c r="K64" s="7" t="s">
        <v>184</v>
      </c>
      <c r="L64" s="7">
        <v>0.54200000000000004</v>
      </c>
      <c r="M64" s="7">
        <v>25</v>
      </c>
      <c r="N64" s="7">
        <v>2000</v>
      </c>
      <c r="O64" s="7">
        <v>0</v>
      </c>
      <c r="P64" s="7">
        <v>205</v>
      </c>
      <c r="Q64" s="7">
        <v>122.5</v>
      </c>
      <c r="S64" s="7">
        <v>-1.1949438258933886E-2</v>
      </c>
      <c r="T64" s="7">
        <v>0</v>
      </c>
      <c r="U64" s="7">
        <v>0</v>
      </c>
      <c r="V64" s="7" t="e">
        <v>#DIV/0!</v>
      </c>
    </row>
    <row r="65" spans="1:22" x14ac:dyDescent="0.3">
      <c r="A65">
        <v>64</v>
      </c>
      <c r="B65" t="s">
        <v>75</v>
      </c>
      <c r="C65">
        <v>56.193284415698479</v>
      </c>
      <c r="D65">
        <v>25</v>
      </c>
      <c r="E65">
        <v>101.3</v>
      </c>
      <c r="F65">
        <v>5.0450999999999988</v>
      </c>
      <c r="J65" s="2" t="s">
        <v>185</v>
      </c>
      <c r="K65" s="2" t="s">
        <v>3</v>
      </c>
      <c r="L65" s="3">
        <v>56.2</v>
      </c>
      <c r="M65" s="3">
        <v>25</v>
      </c>
      <c r="N65" s="3">
        <v>101.3</v>
      </c>
      <c r="O65" s="3">
        <v>5.0449999999999999</v>
      </c>
      <c r="P65" s="3">
        <v>6.9</v>
      </c>
      <c r="Q65" s="3">
        <v>1421</v>
      </c>
      <c r="S65" s="9">
        <v>-1.1949438258940039E-2</v>
      </c>
      <c r="T65" s="9">
        <v>0</v>
      </c>
      <c r="U65" s="9">
        <v>0</v>
      </c>
      <c r="V65">
        <v>1.982160554982731E-3</v>
      </c>
    </row>
    <row r="66" spans="1:22" x14ac:dyDescent="0.3">
      <c r="A66">
        <v>65</v>
      </c>
      <c r="B66" t="s">
        <v>76</v>
      </c>
      <c r="C66">
        <v>11.798589966285446</v>
      </c>
      <c r="D66">
        <v>25</v>
      </c>
      <c r="E66">
        <v>2000</v>
      </c>
      <c r="F66">
        <v>296.60514466333274</v>
      </c>
      <c r="J66" s="2" t="s">
        <v>186</v>
      </c>
      <c r="K66" s="2" t="s">
        <v>184</v>
      </c>
      <c r="L66" s="3">
        <v>11.8</v>
      </c>
      <c r="M66" s="3">
        <v>25</v>
      </c>
      <c r="N66" s="3">
        <v>2000</v>
      </c>
      <c r="O66" s="3">
        <v>0</v>
      </c>
      <c r="P66" s="3">
        <v>205</v>
      </c>
      <c r="Q66" s="3">
        <v>122.5</v>
      </c>
      <c r="S66" s="9">
        <v>-1.1949438258937415E-2</v>
      </c>
      <c r="T66" s="9">
        <v>0</v>
      </c>
      <c r="U66" s="9">
        <v>0</v>
      </c>
      <c r="V66" t="e">
        <v>#DIV/0!</v>
      </c>
    </row>
    <row r="67" spans="1:22" x14ac:dyDescent="0.3">
      <c r="A67">
        <v>66</v>
      </c>
      <c r="B67" t="s">
        <v>77</v>
      </c>
      <c r="C67">
        <v>0.31596223977510174</v>
      </c>
      <c r="D67">
        <v>25</v>
      </c>
      <c r="E67">
        <v>2000</v>
      </c>
      <c r="F67">
        <v>284.81249739964517</v>
      </c>
      <c r="J67" s="2" t="s">
        <v>187</v>
      </c>
      <c r="K67" s="2" t="s">
        <v>11</v>
      </c>
      <c r="L67" s="3">
        <v>0.316</v>
      </c>
      <c r="M67" s="3">
        <v>25</v>
      </c>
      <c r="N67" s="3">
        <v>2000</v>
      </c>
      <c r="O67" s="3">
        <v>0</v>
      </c>
      <c r="P67" s="3">
        <v>0</v>
      </c>
      <c r="Q67" s="3">
        <v>23.9</v>
      </c>
      <c r="S67" s="9">
        <v>-1.1949438258944452E-2</v>
      </c>
      <c r="T67" s="9">
        <v>0</v>
      </c>
      <c r="U67" s="9">
        <v>0</v>
      </c>
      <c r="V67" t="e">
        <v>#DIV/0!</v>
      </c>
    </row>
    <row r="68" spans="1:22" s="4" customFormat="1" x14ac:dyDescent="0.3">
      <c r="A68">
        <v>67</v>
      </c>
      <c r="B68" t="s">
        <v>78</v>
      </c>
      <c r="C68">
        <v>6.7991874381983924E-2</v>
      </c>
      <c r="D68">
        <v>25</v>
      </c>
      <c r="E68">
        <v>2000</v>
      </c>
      <c r="F68">
        <v>122000</v>
      </c>
      <c r="J68" s="5" t="s">
        <v>188</v>
      </c>
      <c r="K68" s="5" t="s">
        <v>4</v>
      </c>
      <c r="L68" s="6">
        <v>6.8000000000000005E-2</v>
      </c>
      <c r="M68" s="6">
        <v>25</v>
      </c>
      <c r="N68" s="6">
        <v>2000</v>
      </c>
      <c r="O68" s="6">
        <v>122000</v>
      </c>
      <c r="P68" s="6">
        <v>409</v>
      </c>
      <c r="Q68" s="6">
        <v>117123</v>
      </c>
      <c r="S68" s="10">
        <v>-1.1949438258941869E-2</v>
      </c>
      <c r="T68" s="10">
        <v>0</v>
      </c>
      <c r="U68" s="10">
        <v>0</v>
      </c>
      <c r="V68" s="4">
        <v>0</v>
      </c>
    </row>
    <row r="69" spans="1:22" s="12" customFormat="1" ht="15" x14ac:dyDescent="0.25">
      <c r="A69">
        <v>68</v>
      </c>
      <c r="B69" t="s">
        <v>79</v>
      </c>
      <c r="C69">
        <v>12.400025599999999</v>
      </c>
      <c r="D69">
        <v>25</v>
      </c>
      <c r="E69">
        <v>2027</v>
      </c>
      <c r="F69">
        <v>296.60514466333274</v>
      </c>
      <c r="J69" s="13" t="s">
        <v>189</v>
      </c>
      <c r="K69" s="13" t="s">
        <v>5</v>
      </c>
      <c r="L69" s="14">
        <v>12.4</v>
      </c>
      <c r="M69" s="14">
        <v>25</v>
      </c>
      <c r="N69" s="14">
        <v>2000</v>
      </c>
      <c r="O69" s="14">
        <v>0</v>
      </c>
      <c r="P69" s="14">
        <v>205</v>
      </c>
      <c r="Q69" s="14">
        <v>122.5</v>
      </c>
      <c r="S69" s="12">
        <v>2.0645161289483698E-4</v>
      </c>
      <c r="T69" s="12">
        <v>0</v>
      </c>
      <c r="U69" s="12">
        <v>1.35</v>
      </c>
      <c r="V69" s="12" t="e">
        <v>#DIV/0!</v>
      </c>
    </row>
    <row r="70" spans="1:22" x14ac:dyDescent="0.3">
      <c r="A70">
        <v>69</v>
      </c>
      <c r="B70" t="s">
        <v>80</v>
      </c>
      <c r="C70">
        <v>30.56</v>
      </c>
      <c r="D70">
        <v>25</v>
      </c>
      <c r="E70">
        <v>101.3</v>
      </c>
      <c r="F70">
        <v>-10000</v>
      </c>
      <c r="J70" s="2" t="s">
        <v>190</v>
      </c>
      <c r="K70" s="2" t="s">
        <v>6</v>
      </c>
      <c r="L70" s="3">
        <v>30.56</v>
      </c>
      <c r="M70" s="3">
        <v>25</v>
      </c>
      <c r="N70" s="3">
        <v>101.3</v>
      </c>
      <c r="O70" s="3">
        <v>-10000</v>
      </c>
      <c r="P70" s="3">
        <v>-4</v>
      </c>
      <c r="Q70" s="3">
        <v>17128</v>
      </c>
      <c r="S70" s="9">
        <v>0</v>
      </c>
      <c r="T70" s="9">
        <v>0</v>
      </c>
      <c r="U70" s="9">
        <v>0</v>
      </c>
      <c r="V70">
        <v>0</v>
      </c>
    </row>
    <row r="71" spans="1:22" x14ac:dyDescent="0.3">
      <c r="A71">
        <v>70</v>
      </c>
      <c r="B71" t="s">
        <v>81</v>
      </c>
      <c r="C71">
        <v>2.3997132134817856E-2</v>
      </c>
      <c r="D71">
        <v>25</v>
      </c>
      <c r="E71">
        <v>500</v>
      </c>
      <c r="F71">
        <v>122000</v>
      </c>
      <c r="J71" s="2" t="s">
        <v>191</v>
      </c>
      <c r="K71" s="2" t="s">
        <v>192</v>
      </c>
      <c r="L71" s="3">
        <v>2.4E-2</v>
      </c>
      <c r="M71" s="3">
        <v>25</v>
      </c>
      <c r="N71" s="3">
        <v>500</v>
      </c>
      <c r="O71" s="3">
        <v>122000</v>
      </c>
      <c r="P71" s="3">
        <v>409</v>
      </c>
      <c r="Q71" s="3">
        <v>117123</v>
      </c>
      <c r="S71" s="9">
        <v>-1.1949438258936768E-2</v>
      </c>
      <c r="T71" s="9">
        <v>0</v>
      </c>
      <c r="U71" s="9">
        <v>0</v>
      </c>
      <c r="V71">
        <v>0</v>
      </c>
    </row>
    <row r="72" spans="1:22" s="7" customFormat="1" ht="15" x14ac:dyDescent="0.25">
      <c r="A72">
        <v>71</v>
      </c>
      <c r="B72" t="s">
        <v>82</v>
      </c>
      <c r="C72">
        <v>0.38395411415708569</v>
      </c>
      <c r="D72">
        <v>24.89</v>
      </c>
      <c r="E72">
        <v>1000</v>
      </c>
      <c r="F72">
        <v>1483</v>
      </c>
      <c r="J72" s="7" t="s">
        <v>193</v>
      </c>
      <c r="K72" s="7" t="s">
        <v>194</v>
      </c>
      <c r="L72" s="7">
        <v>0.38400000000000001</v>
      </c>
      <c r="M72" s="7">
        <v>24.89</v>
      </c>
      <c r="N72" s="7">
        <v>1000</v>
      </c>
      <c r="O72" s="7">
        <v>1483</v>
      </c>
      <c r="P72" s="7">
        <v>5.319</v>
      </c>
      <c r="Q72" s="7">
        <v>14221</v>
      </c>
      <c r="S72" s="7">
        <v>-1.1949438258936768E-2</v>
      </c>
      <c r="T72" s="7">
        <v>0</v>
      </c>
      <c r="U72" s="7">
        <v>0</v>
      </c>
      <c r="V72" s="7">
        <v>0</v>
      </c>
    </row>
    <row r="73" spans="1:22" s="7" customFormat="1" ht="15" x14ac:dyDescent="0.25">
      <c r="A73">
        <v>72</v>
      </c>
      <c r="B73" t="s">
        <v>88</v>
      </c>
      <c r="C73">
        <v>0.35995698202226778</v>
      </c>
      <c r="D73">
        <v>24.89</v>
      </c>
      <c r="E73">
        <v>1000</v>
      </c>
      <c r="F73">
        <v>317.7</v>
      </c>
      <c r="J73" s="7" t="s">
        <v>195</v>
      </c>
      <c r="K73" s="7" t="s">
        <v>196</v>
      </c>
      <c r="L73" s="7">
        <v>0.36</v>
      </c>
      <c r="M73" s="7">
        <v>24.89</v>
      </c>
      <c r="N73" s="7">
        <v>1000</v>
      </c>
      <c r="O73" s="7">
        <v>317.7</v>
      </c>
      <c r="P73" s="7">
        <v>1.409</v>
      </c>
      <c r="Q73" s="7">
        <v>14220</v>
      </c>
      <c r="S73" s="7">
        <v>-1.1949438258946404E-2</v>
      </c>
      <c r="T73" s="7">
        <v>0</v>
      </c>
      <c r="U73" s="7">
        <v>0</v>
      </c>
      <c r="V73" s="7">
        <v>0</v>
      </c>
    </row>
    <row r="74" spans="1:22" s="7" customFormat="1" ht="15" x14ac:dyDescent="0.25">
      <c r="A74">
        <v>73</v>
      </c>
      <c r="B74" t="s">
        <v>83</v>
      </c>
      <c r="C74">
        <v>2.3997132134817856E-2</v>
      </c>
      <c r="D74">
        <v>24.89</v>
      </c>
      <c r="E74">
        <v>1000</v>
      </c>
      <c r="F74">
        <v>1483</v>
      </c>
      <c r="J74" s="7" t="s">
        <v>197</v>
      </c>
      <c r="K74" s="7" t="s">
        <v>198</v>
      </c>
      <c r="L74" s="7">
        <v>2.4E-2</v>
      </c>
      <c r="M74" s="7">
        <v>24.89</v>
      </c>
      <c r="N74" s="7">
        <v>1000</v>
      </c>
      <c r="O74" s="7">
        <v>1483</v>
      </c>
      <c r="P74" s="7">
        <v>5.319</v>
      </c>
      <c r="Q74" s="7">
        <v>14221</v>
      </c>
      <c r="S74" s="7">
        <v>-1.1949438258936768E-2</v>
      </c>
      <c r="T74" s="7">
        <v>0</v>
      </c>
      <c r="U74" s="7">
        <v>0</v>
      </c>
      <c r="V74" s="7">
        <v>0</v>
      </c>
    </row>
    <row r="75" spans="1:22" s="7" customFormat="1" ht="15" x14ac:dyDescent="0.25">
      <c r="A75">
        <v>74</v>
      </c>
      <c r="B75" t="s">
        <v>84</v>
      </c>
      <c r="C75">
        <v>1.9473079536</v>
      </c>
      <c r="D75">
        <v>60</v>
      </c>
      <c r="E75">
        <v>101.3</v>
      </c>
      <c r="F75">
        <v>100</v>
      </c>
      <c r="J75" s="7" t="s">
        <v>199</v>
      </c>
      <c r="K75" s="7" t="s">
        <v>12</v>
      </c>
      <c r="L75" s="7">
        <v>1.9</v>
      </c>
      <c r="M75" s="7">
        <v>60</v>
      </c>
      <c r="N75" s="7">
        <v>101.3</v>
      </c>
      <c r="O75" s="7">
        <v>100</v>
      </c>
      <c r="P75" s="7">
        <v>1.65</v>
      </c>
      <c r="Q75" s="7">
        <v>1726</v>
      </c>
      <c r="S75" s="7">
        <v>2.4898922947368454</v>
      </c>
      <c r="T75" s="7">
        <v>0</v>
      </c>
      <c r="U75" s="7">
        <v>0</v>
      </c>
      <c r="V75" s="7">
        <v>0</v>
      </c>
    </row>
    <row r="76" spans="1:22" s="15" customFormat="1" ht="15" x14ac:dyDescent="0.25">
      <c r="A76">
        <v>75</v>
      </c>
      <c r="B76" t="s">
        <v>85</v>
      </c>
      <c r="C76">
        <v>0.49768113428304783</v>
      </c>
      <c r="D76">
        <v>150.17278297523825</v>
      </c>
      <c r="E76">
        <v>101.3</v>
      </c>
      <c r="F76">
        <v>-4240.1029887245732</v>
      </c>
      <c r="J76" s="15" t="s">
        <v>200</v>
      </c>
      <c r="K76" s="15" t="s">
        <v>156</v>
      </c>
      <c r="L76" s="15">
        <v>0.498</v>
      </c>
      <c r="M76" s="15">
        <v>130</v>
      </c>
      <c r="N76" s="15">
        <v>101.3</v>
      </c>
      <c r="O76" s="15">
        <v>-4240.1000000000004</v>
      </c>
      <c r="P76" s="15">
        <v>0.40500000000000003</v>
      </c>
      <c r="Q76" s="15">
        <v>1443</v>
      </c>
      <c r="S76" s="15">
        <v>-6.4029260432161811E-2</v>
      </c>
      <c r="T76" s="15">
        <v>15.517525365567883</v>
      </c>
      <c r="U76" s="15">
        <v>0</v>
      </c>
      <c r="V76" s="15">
        <v>7.0487124661865511E-5</v>
      </c>
    </row>
    <row r="77" spans="1:22" s="15" customFormat="1" ht="15" x14ac:dyDescent="0.25">
      <c r="A77">
        <v>76</v>
      </c>
      <c r="B77" t="s">
        <v>89</v>
      </c>
      <c r="C77">
        <v>0.4666474540788349</v>
      </c>
      <c r="D77">
        <v>150.17278297523825</v>
      </c>
      <c r="E77">
        <v>101.3</v>
      </c>
      <c r="F77">
        <v>-2152.003608892443</v>
      </c>
      <c r="J77" s="15" t="s">
        <v>201</v>
      </c>
      <c r="K77" s="15" t="s">
        <v>202</v>
      </c>
      <c r="L77" s="15">
        <v>0.46700000000000003</v>
      </c>
      <c r="M77" s="15">
        <v>110</v>
      </c>
      <c r="N77" s="15">
        <v>101.3</v>
      </c>
      <c r="O77" s="15">
        <v>-2152</v>
      </c>
      <c r="Q77" s="15">
        <v>92.7</v>
      </c>
      <c r="S77" s="15">
        <v>-7.5491631941140475E-2</v>
      </c>
      <c r="T77" s="15">
        <v>36.520711795671133</v>
      </c>
      <c r="U77" s="15">
        <v>0</v>
      </c>
      <c r="V77" s="15">
        <v>1.6769946296589123E-4</v>
      </c>
    </row>
    <row r="78" spans="1:22" s="7" customFormat="1" ht="15" x14ac:dyDescent="0.25">
      <c r="A78">
        <v>77</v>
      </c>
      <c r="B78" t="s">
        <v>86</v>
      </c>
      <c r="C78">
        <v>3.0996295674139727E-2</v>
      </c>
      <c r="D78">
        <v>90</v>
      </c>
      <c r="E78">
        <v>101.3</v>
      </c>
      <c r="F78">
        <v>-8689.8116165256142</v>
      </c>
      <c r="J78" s="7" t="s">
        <v>203</v>
      </c>
      <c r="K78" s="7" t="s">
        <v>204</v>
      </c>
      <c r="L78" s="7">
        <v>3.1E-2</v>
      </c>
      <c r="M78" s="7">
        <v>90</v>
      </c>
      <c r="N78" s="7">
        <v>101.3</v>
      </c>
      <c r="O78" s="7">
        <v>-8884</v>
      </c>
      <c r="P78" s="7">
        <v>5.0270000000000001</v>
      </c>
      <c r="Q78" s="7">
        <v>411.7</v>
      </c>
      <c r="S78" s="7">
        <v>-1.1949438258945162E-2</v>
      </c>
      <c r="T78" s="7">
        <v>0</v>
      </c>
      <c r="U78" s="7">
        <v>0</v>
      </c>
      <c r="V78" s="7">
        <v>-2.1858215159205963</v>
      </c>
    </row>
    <row r="79" spans="1:22" x14ac:dyDescent="0.3">
      <c r="A79">
        <v>78</v>
      </c>
      <c r="B79" t="s">
        <v>87</v>
      </c>
      <c r="C79">
        <v>5.4993427808957586E-2</v>
      </c>
      <c r="D79">
        <v>25</v>
      </c>
      <c r="E79">
        <v>101.3</v>
      </c>
      <c r="F79">
        <v>-7928</v>
      </c>
      <c r="J79" s="2" t="s">
        <v>205</v>
      </c>
      <c r="K79" s="2" t="s">
        <v>206</v>
      </c>
      <c r="L79" s="3">
        <v>5.5E-2</v>
      </c>
      <c r="M79" s="3">
        <v>25</v>
      </c>
      <c r="N79" s="3">
        <v>101.3</v>
      </c>
      <c r="O79" s="3">
        <v>-7928</v>
      </c>
      <c r="P79" s="3">
        <v>-4.9480000000000004</v>
      </c>
      <c r="Q79" s="3">
        <v>6019</v>
      </c>
      <c r="S79" s="9">
        <v>-1.1949438258935191E-2</v>
      </c>
      <c r="T79" s="9">
        <v>0</v>
      </c>
      <c r="U79" s="9">
        <v>0</v>
      </c>
      <c r="V79">
        <v>0</v>
      </c>
    </row>
    <row r="80" spans="1:22" x14ac:dyDescent="0.3">
      <c r="A80">
        <v>79</v>
      </c>
      <c r="C80">
        <v>0</v>
      </c>
      <c r="D80">
        <v>0</v>
      </c>
      <c r="E80">
        <v>0</v>
      </c>
      <c r="F80">
        <v>0</v>
      </c>
      <c r="J80" s="2" t="s">
        <v>207</v>
      </c>
      <c r="K80" s="2" t="s">
        <v>208</v>
      </c>
      <c r="L80" s="3">
        <v>1.91</v>
      </c>
      <c r="M80" s="3">
        <v>80</v>
      </c>
      <c r="N80" s="3">
        <v>7.3810000000000002</v>
      </c>
      <c r="O80" s="3">
        <v>181.1</v>
      </c>
      <c r="P80" s="3">
        <v>0.48099999999999998</v>
      </c>
      <c r="Q80" s="3">
        <v>42.3</v>
      </c>
      <c r="S80" s="9">
        <v>-100</v>
      </c>
      <c r="T80" s="9">
        <v>-100</v>
      </c>
      <c r="U80" s="9">
        <v>-100</v>
      </c>
      <c r="V80">
        <v>-100</v>
      </c>
    </row>
    <row r="81" spans="1:22" x14ac:dyDescent="0.3">
      <c r="A81">
        <v>80</v>
      </c>
      <c r="C81">
        <v>0</v>
      </c>
      <c r="D81">
        <v>0</v>
      </c>
      <c r="E81">
        <v>0</v>
      </c>
      <c r="F81">
        <v>0</v>
      </c>
      <c r="J81" s="2" t="s">
        <v>209</v>
      </c>
      <c r="K81" s="2" t="s">
        <v>208</v>
      </c>
      <c r="L81" s="3">
        <v>1.91</v>
      </c>
      <c r="M81" s="3">
        <v>90</v>
      </c>
      <c r="N81" s="3">
        <v>7.3810000000000002</v>
      </c>
      <c r="O81" s="3">
        <v>227.7</v>
      </c>
      <c r="P81" s="3">
        <v>0.52400000000000002</v>
      </c>
      <c r="Q81" s="3">
        <v>76.099999999999994</v>
      </c>
      <c r="S81" s="9">
        <v>-100</v>
      </c>
      <c r="T81" s="9">
        <v>-100</v>
      </c>
      <c r="U81" s="9">
        <v>-100</v>
      </c>
      <c r="V81">
        <v>-100</v>
      </c>
    </row>
    <row r="82" spans="1:22" x14ac:dyDescent="0.3">
      <c r="A82">
        <v>81</v>
      </c>
      <c r="C82">
        <v>0</v>
      </c>
      <c r="D82">
        <v>0</v>
      </c>
      <c r="E82">
        <v>0</v>
      </c>
      <c r="F82">
        <v>0</v>
      </c>
      <c r="J82" s="2" t="s">
        <v>210</v>
      </c>
      <c r="K82" s="2" t="s">
        <v>211</v>
      </c>
      <c r="L82" s="3">
        <v>441.66</v>
      </c>
      <c r="M82" s="3">
        <v>20</v>
      </c>
      <c r="N82" s="3">
        <v>101.3</v>
      </c>
      <c r="O82" s="3">
        <v>78.959999999999994</v>
      </c>
      <c r="P82" s="3">
        <v>0.25900000000000001</v>
      </c>
      <c r="Q82" s="3">
        <v>0.25900000000000001</v>
      </c>
      <c r="S82" s="9">
        <v>-100</v>
      </c>
      <c r="T82" s="9">
        <v>-100</v>
      </c>
      <c r="U82" s="9">
        <v>-100</v>
      </c>
      <c r="V82">
        <v>-100</v>
      </c>
    </row>
    <row r="83" spans="1:22" x14ac:dyDescent="0.3">
      <c r="A83">
        <v>82</v>
      </c>
      <c r="C83">
        <v>0</v>
      </c>
      <c r="D83">
        <v>0</v>
      </c>
      <c r="E83">
        <v>0</v>
      </c>
      <c r="F83">
        <v>0</v>
      </c>
      <c r="J83" s="2" t="s">
        <v>212</v>
      </c>
      <c r="K83" s="2" t="s">
        <v>213</v>
      </c>
      <c r="L83" s="3">
        <v>0.38</v>
      </c>
      <c r="M83" s="3">
        <v>5</v>
      </c>
      <c r="N83" s="3">
        <v>27500</v>
      </c>
      <c r="O83" s="3">
        <v>-56.2</v>
      </c>
      <c r="P83" s="3">
        <v>-5.2919999999999998</v>
      </c>
      <c r="Q83" s="3">
        <v>27367</v>
      </c>
      <c r="S83" s="9">
        <v>-100</v>
      </c>
      <c r="T83" s="9">
        <v>-100</v>
      </c>
      <c r="U83" s="9">
        <v>-100</v>
      </c>
      <c r="V83">
        <v>-100</v>
      </c>
    </row>
    <row r="84" spans="1:22" x14ac:dyDescent="0.3">
      <c r="A84">
        <v>83</v>
      </c>
      <c r="C84">
        <v>0</v>
      </c>
      <c r="D84">
        <v>0</v>
      </c>
      <c r="E84">
        <v>0</v>
      </c>
      <c r="F84">
        <v>0</v>
      </c>
      <c r="J84" s="2" t="s">
        <v>214</v>
      </c>
      <c r="K84" s="2" t="s">
        <v>215</v>
      </c>
      <c r="L84" s="3">
        <v>1.1499999999999999</v>
      </c>
      <c r="M84" s="3">
        <v>20</v>
      </c>
      <c r="N84" s="3">
        <v>27400</v>
      </c>
      <c r="O84" s="3">
        <v>-178.1</v>
      </c>
      <c r="P84" s="3">
        <v>-5.2460000000000004</v>
      </c>
      <c r="Q84" s="3">
        <v>38520</v>
      </c>
      <c r="S84" s="9">
        <v>-100</v>
      </c>
      <c r="T84" s="9">
        <v>-100</v>
      </c>
      <c r="U84" s="9">
        <v>-100</v>
      </c>
      <c r="V84">
        <v>-100</v>
      </c>
    </row>
    <row r="85" spans="1:22" x14ac:dyDescent="0.3">
      <c r="A85">
        <v>84</v>
      </c>
      <c r="C85">
        <v>0</v>
      </c>
      <c r="D85">
        <v>0</v>
      </c>
      <c r="E85">
        <v>0</v>
      </c>
      <c r="F85">
        <v>0</v>
      </c>
      <c r="J85" s="2" t="s">
        <v>216</v>
      </c>
      <c r="K85" s="2" t="s">
        <v>215</v>
      </c>
      <c r="L85" s="3">
        <v>1.1499999999999999</v>
      </c>
      <c r="M85" s="3">
        <v>27</v>
      </c>
      <c r="N85" s="3">
        <v>29200</v>
      </c>
      <c r="O85" s="3">
        <v>-148.5</v>
      </c>
      <c r="P85" s="3">
        <v>-5.2160000000000002</v>
      </c>
      <c r="Q85" s="3">
        <v>38541</v>
      </c>
      <c r="S85" s="9">
        <v>-100</v>
      </c>
      <c r="T85" s="9">
        <v>-100</v>
      </c>
      <c r="U85" s="9">
        <v>-100</v>
      </c>
      <c r="V85">
        <v>-100</v>
      </c>
    </row>
    <row r="86" spans="1:22" x14ac:dyDescent="0.3">
      <c r="A86">
        <v>85</v>
      </c>
      <c r="C86">
        <v>0</v>
      </c>
      <c r="D86">
        <v>0</v>
      </c>
      <c r="E86">
        <v>0</v>
      </c>
      <c r="F86">
        <v>0</v>
      </c>
      <c r="J86" s="2" t="s">
        <v>217</v>
      </c>
      <c r="K86" s="2" t="s">
        <v>215</v>
      </c>
      <c r="L86" s="3">
        <v>1.1499999999999999</v>
      </c>
      <c r="M86" s="3">
        <v>180</v>
      </c>
      <c r="N86" s="3">
        <v>29200</v>
      </c>
      <c r="O86" s="3">
        <v>400.2</v>
      </c>
      <c r="P86" s="3">
        <v>-3.738</v>
      </c>
      <c r="Q86" s="3">
        <v>38649</v>
      </c>
      <c r="S86" s="9">
        <v>-100</v>
      </c>
      <c r="T86" s="9">
        <v>-100</v>
      </c>
      <c r="U86" s="9">
        <v>-100</v>
      </c>
      <c r="V86">
        <v>-100</v>
      </c>
    </row>
    <row r="87" spans="1:22" x14ac:dyDescent="0.3">
      <c r="A87">
        <v>86</v>
      </c>
      <c r="C87">
        <v>0</v>
      </c>
      <c r="D87">
        <v>0</v>
      </c>
      <c r="E87">
        <v>0</v>
      </c>
      <c r="F87">
        <v>0</v>
      </c>
      <c r="J87" s="2" t="s">
        <v>218</v>
      </c>
      <c r="K87" s="2" t="s">
        <v>219</v>
      </c>
      <c r="L87" s="3">
        <v>1.1499999999999999</v>
      </c>
      <c r="M87" s="3">
        <v>491</v>
      </c>
      <c r="N87" s="3">
        <v>28400</v>
      </c>
      <c r="O87" s="3">
        <v>400.1</v>
      </c>
      <c r="P87" s="3">
        <v>-3.137</v>
      </c>
      <c r="Q87" s="3">
        <v>38470</v>
      </c>
      <c r="S87" s="9">
        <v>-100</v>
      </c>
      <c r="T87" s="9">
        <v>-100</v>
      </c>
      <c r="U87" s="9">
        <v>-100</v>
      </c>
      <c r="V87">
        <v>-100</v>
      </c>
    </row>
    <row r="88" spans="1:22" x14ac:dyDescent="0.3">
      <c r="A88">
        <v>87</v>
      </c>
      <c r="C88">
        <v>0</v>
      </c>
      <c r="D88">
        <v>0</v>
      </c>
      <c r="E88">
        <v>0</v>
      </c>
      <c r="F88">
        <v>0</v>
      </c>
      <c r="J88" s="2" t="s">
        <v>220</v>
      </c>
      <c r="K88" s="2" t="s">
        <v>219</v>
      </c>
      <c r="L88" s="3">
        <v>1.1499999999999999</v>
      </c>
      <c r="M88" s="3">
        <v>240</v>
      </c>
      <c r="N88" s="3">
        <v>28100</v>
      </c>
      <c r="O88" s="3">
        <v>-440.9</v>
      </c>
      <c r="P88" s="3">
        <v>-4.4610000000000003</v>
      </c>
      <c r="Q88" s="3">
        <v>38023</v>
      </c>
      <c r="S88" s="9">
        <v>-100</v>
      </c>
      <c r="T88" s="9">
        <v>-100</v>
      </c>
      <c r="U88" s="9">
        <v>-100</v>
      </c>
      <c r="V88">
        <v>-100</v>
      </c>
    </row>
    <row r="89" spans="1:22" x14ac:dyDescent="0.3">
      <c r="A89">
        <v>88</v>
      </c>
      <c r="C89">
        <v>0</v>
      </c>
      <c r="D89">
        <v>0</v>
      </c>
      <c r="E89">
        <v>0</v>
      </c>
      <c r="F89">
        <v>0</v>
      </c>
      <c r="J89" s="2" t="s">
        <v>221</v>
      </c>
      <c r="K89" s="2" t="s">
        <v>219</v>
      </c>
      <c r="L89" s="3">
        <v>1.1499999999999999</v>
      </c>
      <c r="M89" s="3">
        <v>78</v>
      </c>
      <c r="N89" s="3">
        <v>27800</v>
      </c>
      <c r="O89" s="3">
        <v>-989.7</v>
      </c>
      <c r="P89" s="3">
        <v>-5.7389999999999999</v>
      </c>
      <c r="Q89" s="3">
        <v>37856</v>
      </c>
      <c r="S89" s="9">
        <v>-100</v>
      </c>
      <c r="T89" s="9">
        <v>-100</v>
      </c>
      <c r="U89" s="9">
        <v>-100</v>
      </c>
      <c r="V89">
        <v>-100</v>
      </c>
    </row>
    <row r="90" spans="1:22" x14ac:dyDescent="0.3">
      <c r="A90">
        <v>89</v>
      </c>
      <c r="C90">
        <v>0</v>
      </c>
      <c r="D90">
        <v>0</v>
      </c>
      <c r="E90">
        <v>0</v>
      </c>
      <c r="F90">
        <v>0</v>
      </c>
      <c r="J90" s="2" t="s">
        <v>222</v>
      </c>
      <c r="K90" s="2" t="s">
        <v>223</v>
      </c>
      <c r="L90" s="3">
        <v>0.13600000000000001</v>
      </c>
      <c r="M90" s="3">
        <v>132</v>
      </c>
      <c r="N90" s="3">
        <v>13800</v>
      </c>
      <c r="O90" s="3">
        <v>-6923</v>
      </c>
      <c r="P90" s="3">
        <v>-5.3869999999999996</v>
      </c>
      <c r="Q90" s="3">
        <v>5313</v>
      </c>
      <c r="S90" s="9">
        <v>-100</v>
      </c>
      <c r="T90" s="9">
        <v>-100</v>
      </c>
      <c r="U90" s="9">
        <v>-100</v>
      </c>
      <c r="V90">
        <v>-100</v>
      </c>
    </row>
    <row r="91" spans="1:22" x14ac:dyDescent="0.3">
      <c r="A91">
        <v>90</v>
      </c>
      <c r="C91">
        <v>0</v>
      </c>
      <c r="D91">
        <v>0</v>
      </c>
      <c r="E91">
        <v>0</v>
      </c>
      <c r="F91">
        <v>0</v>
      </c>
      <c r="J91" s="2" t="s">
        <v>224</v>
      </c>
      <c r="K91" s="2" t="s">
        <v>225</v>
      </c>
      <c r="L91" s="3">
        <v>2.4E-2</v>
      </c>
      <c r="M91" s="3">
        <v>31</v>
      </c>
      <c r="N91" s="3">
        <v>15700</v>
      </c>
      <c r="O91" s="3">
        <v>-3902</v>
      </c>
      <c r="P91" s="3">
        <v>-11.03</v>
      </c>
      <c r="Q91" s="3">
        <v>20203</v>
      </c>
      <c r="S91" s="9">
        <v>-100</v>
      </c>
      <c r="T91" s="9">
        <v>-100</v>
      </c>
      <c r="U91" s="9">
        <v>-100</v>
      </c>
      <c r="V91">
        <v>-100</v>
      </c>
    </row>
    <row r="92" spans="1:22" x14ac:dyDescent="0.3">
      <c r="A92">
        <v>91</v>
      </c>
      <c r="C92">
        <v>0</v>
      </c>
      <c r="D92">
        <v>0</v>
      </c>
      <c r="E92">
        <v>0</v>
      </c>
      <c r="F92">
        <v>0</v>
      </c>
      <c r="J92" s="2" t="s">
        <v>226</v>
      </c>
      <c r="K92" s="2" t="s">
        <v>227</v>
      </c>
      <c r="L92" s="3">
        <v>3.1E-2</v>
      </c>
      <c r="M92" s="3">
        <v>100</v>
      </c>
      <c r="N92" s="3">
        <v>14000</v>
      </c>
      <c r="O92" s="3">
        <v>-8815.7000000000007</v>
      </c>
      <c r="P92" s="3">
        <v>-0.86599999999999999</v>
      </c>
      <c r="Q92" s="3">
        <v>2237</v>
      </c>
      <c r="S92" s="9">
        <v>-100</v>
      </c>
      <c r="T92" s="9">
        <v>-100</v>
      </c>
      <c r="U92" s="9">
        <v>-100</v>
      </c>
      <c r="V92">
        <v>-100</v>
      </c>
    </row>
    <row r="93" spans="1:22" x14ac:dyDescent="0.3">
      <c r="A93">
        <v>92</v>
      </c>
      <c r="C93">
        <v>0</v>
      </c>
      <c r="D93">
        <v>0</v>
      </c>
      <c r="E93">
        <v>0</v>
      </c>
      <c r="F93">
        <v>0</v>
      </c>
      <c r="J93" s="2" t="s">
        <v>228</v>
      </c>
      <c r="K93" s="2" t="s">
        <v>229</v>
      </c>
      <c r="L93" s="3">
        <v>0.13600000000000001</v>
      </c>
      <c r="M93" s="3">
        <v>183</v>
      </c>
      <c r="N93" s="3">
        <v>13800</v>
      </c>
      <c r="O93" s="3">
        <v>-7470.6</v>
      </c>
      <c r="P93" s="3">
        <v>-6.5170000000000003</v>
      </c>
      <c r="Q93" s="3">
        <v>5102</v>
      </c>
      <c r="S93" s="9">
        <v>-100</v>
      </c>
      <c r="T93" s="9">
        <v>-100</v>
      </c>
      <c r="U93" s="9">
        <v>-100</v>
      </c>
      <c r="V93">
        <v>-100</v>
      </c>
    </row>
    <row r="94" spans="1:22" x14ac:dyDescent="0.3">
      <c r="A94">
        <v>93</v>
      </c>
      <c r="C94">
        <v>0</v>
      </c>
      <c r="D94">
        <v>0</v>
      </c>
      <c r="E94">
        <v>0</v>
      </c>
      <c r="F94">
        <v>0</v>
      </c>
      <c r="J94" s="2" t="s">
        <v>230</v>
      </c>
      <c r="K94" s="2" t="s">
        <v>231</v>
      </c>
      <c r="L94" s="3">
        <v>0.128</v>
      </c>
      <c r="M94" s="3">
        <v>183</v>
      </c>
      <c r="N94" s="3">
        <v>13800</v>
      </c>
      <c r="O94" s="3">
        <v>-7551.1</v>
      </c>
      <c r="P94" s="3">
        <v>-6.77</v>
      </c>
      <c r="Q94" s="3">
        <v>5097</v>
      </c>
      <c r="S94" s="9">
        <v>-100</v>
      </c>
      <c r="T94" s="9">
        <v>-100</v>
      </c>
      <c r="U94" s="9">
        <v>-100</v>
      </c>
      <c r="V94">
        <v>-100</v>
      </c>
    </row>
    <row r="95" spans="1:22" x14ac:dyDescent="0.3">
      <c r="A95">
        <v>94</v>
      </c>
      <c r="C95">
        <v>0</v>
      </c>
      <c r="D95">
        <v>0</v>
      </c>
      <c r="E95">
        <v>0</v>
      </c>
      <c r="F95">
        <v>0</v>
      </c>
      <c r="J95" s="2" t="s">
        <v>232</v>
      </c>
      <c r="K95" s="2" t="s">
        <v>233</v>
      </c>
      <c r="L95" s="3">
        <v>7.0000000000000001E-3</v>
      </c>
      <c r="M95" s="3">
        <v>183</v>
      </c>
      <c r="N95" s="3">
        <v>13800</v>
      </c>
      <c r="O95" s="3">
        <v>-6291.4</v>
      </c>
      <c r="P95" s="3">
        <v>-2.8090000000000002</v>
      </c>
      <c r="Q95" s="3">
        <v>5176</v>
      </c>
      <c r="S95" s="9">
        <v>-100</v>
      </c>
      <c r="T95" s="9">
        <v>-100</v>
      </c>
      <c r="U95" s="9">
        <v>-100</v>
      </c>
      <c r="V95">
        <v>-100</v>
      </c>
    </row>
    <row r="96" spans="1:22" x14ac:dyDescent="0.3">
      <c r="A96">
        <v>95</v>
      </c>
      <c r="C96">
        <v>0</v>
      </c>
      <c r="D96">
        <v>0</v>
      </c>
      <c r="E96">
        <v>0</v>
      </c>
      <c r="F96">
        <v>0</v>
      </c>
      <c r="J96" s="2" t="s">
        <v>234</v>
      </c>
      <c r="K96" s="2" t="s">
        <v>235</v>
      </c>
      <c r="L96" s="3">
        <v>3.3000000000000002E-2</v>
      </c>
      <c r="M96" s="3">
        <v>89</v>
      </c>
      <c r="N96" s="3">
        <v>13800</v>
      </c>
      <c r="O96" s="3">
        <v>-9879.5</v>
      </c>
      <c r="P96" s="3">
        <v>-7.6559999999999997</v>
      </c>
      <c r="Q96" s="3">
        <v>3033</v>
      </c>
      <c r="S96" s="9">
        <v>-100</v>
      </c>
      <c r="T96" s="9">
        <v>-100</v>
      </c>
      <c r="U96" s="9">
        <v>-100</v>
      </c>
      <c r="V96">
        <v>-100</v>
      </c>
    </row>
    <row r="97" spans="1:22" x14ac:dyDescent="0.3">
      <c r="A97">
        <v>96</v>
      </c>
      <c r="C97">
        <v>0</v>
      </c>
      <c r="D97">
        <v>0</v>
      </c>
      <c r="E97">
        <v>0</v>
      </c>
      <c r="F97">
        <v>0</v>
      </c>
      <c r="J97" s="2" t="s">
        <v>236</v>
      </c>
      <c r="K97" s="2" t="s">
        <v>237</v>
      </c>
      <c r="L97" s="3">
        <v>8.1000000000000003E-2</v>
      </c>
      <c r="M97" s="3">
        <v>166</v>
      </c>
      <c r="N97" s="3">
        <v>13800</v>
      </c>
      <c r="O97" s="3">
        <v>-8095.6</v>
      </c>
      <c r="P97" s="3">
        <v>-6.3380000000000001</v>
      </c>
      <c r="Q97" s="3">
        <v>4424</v>
      </c>
      <c r="S97" s="9">
        <v>-100</v>
      </c>
      <c r="T97" s="9">
        <v>-100</v>
      </c>
      <c r="U97" s="9">
        <v>-100</v>
      </c>
      <c r="V97">
        <v>-100</v>
      </c>
    </row>
    <row r="98" spans="1:22" x14ac:dyDescent="0.3">
      <c r="A98">
        <v>97</v>
      </c>
      <c r="C98">
        <v>0</v>
      </c>
      <c r="D98">
        <v>0</v>
      </c>
      <c r="E98">
        <v>0</v>
      </c>
      <c r="F98">
        <v>0</v>
      </c>
      <c r="J98" s="2" t="s">
        <v>238</v>
      </c>
      <c r="K98" s="2" t="s">
        <v>239</v>
      </c>
      <c r="L98" s="3">
        <v>8.1000000000000003E-2</v>
      </c>
      <c r="M98" s="3">
        <v>72</v>
      </c>
      <c r="N98" s="3">
        <v>13800</v>
      </c>
      <c r="O98" s="3">
        <v>-8153.4</v>
      </c>
      <c r="P98" s="3">
        <v>-6.5709999999999997</v>
      </c>
      <c r="Q98" s="3">
        <v>4435</v>
      </c>
      <c r="S98" s="9">
        <v>-100</v>
      </c>
      <c r="T98" s="9">
        <v>-100</v>
      </c>
      <c r="U98" s="9">
        <v>-100</v>
      </c>
      <c r="V98">
        <v>-100</v>
      </c>
    </row>
    <row r="99" spans="1:22" x14ac:dyDescent="0.3">
      <c r="A99">
        <v>98</v>
      </c>
      <c r="C99">
        <v>0</v>
      </c>
      <c r="D99">
        <v>0</v>
      </c>
      <c r="E99">
        <v>0</v>
      </c>
      <c r="F99">
        <v>0</v>
      </c>
      <c r="J99" s="2" t="s">
        <v>240</v>
      </c>
      <c r="K99" s="2" t="s">
        <v>241</v>
      </c>
      <c r="L99" s="3">
        <v>2.1999999999999999E-2</v>
      </c>
      <c r="M99" s="3">
        <v>72</v>
      </c>
      <c r="N99" s="3">
        <v>13800</v>
      </c>
      <c r="O99" s="3">
        <v>-9582.2000000000007</v>
      </c>
      <c r="P99" s="3">
        <v>-6.282</v>
      </c>
      <c r="Q99" s="3">
        <v>5921</v>
      </c>
      <c r="S99" s="9">
        <v>-100</v>
      </c>
      <c r="T99" s="9">
        <v>-100</v>
      </c>
      <c r="U99" s="9">
        <v>-100</v>
      </c>
      <c r="V99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Nadimi</dc:creator>
  <cp:lastModifiedBy>Reza Nadimi</cp:lastModifiedBy>
  <dcterms:created xsi:type="dcterms:W3CDTF">2026-06-26T21:32:21Z</dcterms:created>
  <dcterms:modified xsi:type="dcterms:W3CDTF">2026-06-28T01:26:17Z</dcterms:modified>
</cp:coreProperties>
</file>